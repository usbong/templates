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D:\USBONG\java\VBA\generatePayslipForTheDay\"/>
    </mc:Choice>
  </mc:AlternateContent>
  <bookViews>
    <workbookView xWindow="0" yWindow="0" windowWidth="20490" windowHeight="7155" firstSheet="1" activeTab="4"/>
  </bookViews>
  <sheets>
    <sheet name="Consultation Template" sheetId="173" r:id="rId1"/>
    <sheet name="PT Treatment Template" sheetId="170" r:id="rId2"/>
    <sheet name="OR Template" sheetId="263" r:id="rId3"/>
    <sheet name="0129 Name CONSULT" sheetId="250" r:id="rId4"/>
    <sheet name="0129 Name PT" sheetId="280" r:id="rId5"/>
    <sheet name="Export0329 RHEA PT" sheetId="91" state="hidden" r:id="rId6"/>
  </sheets>
  <definedNames>
    <definedName name="_xlnm.Print_Area" localSheetId="3">'0129 Name CONSULT'!$A$1:$L$8</definedName>
    <definedName name="_xlnm.Print_Area" localSheetId="4">'0129 Name PT'!$A$1:$L$8</definedName>
  </definedNames>
  <calcPr calcId="152511"/>
</workbook>
</file>

<file path=xl/calcChain.xml><?xml version="1.0" encoding="utf-8"?>
<calcChain xmlns="http://schemas.openxmlformats.org/spreadsheetml/2006/main">
  <c r="H16" i="280" l="1"/>
  <c r="H15" i="280"/>
  <c r="H14" i="280"/>
  <c r="H13" i="280"/>
  <c r="H12" i="280"/>
  <c r="H11" i="280"/>
  <c r="H10" i="280"/>
  <c r="H9" i="280"/>
  <c r="H7" i="280"/>
  <c r="I16" i="280"/>
  <c r="I15" i="280"/>
  <c r="I14" i="280"/>
  <c r="I13" i="280"/>
  <c r="I12" i="280"/>
  <c r="I11" i="280"/>
  <c r="I10" i="280"/>
  <c r="I9" i="280"/>
  <c r="I7" i="280"/>
  <c r="H16" i="250"/>
  <c r="H15" i="250"/>
  <c r="H13" i="250"/>
  <c r="H12" i="250"/>
  <c r="H11" i="250"/>
  <c r="H10" i="250"/>
  <c r="H9" i="250"/>
  <c r="H8" i="250"/>
  <c r="H7" i="250"/>
  <c r="I16" i="250"/>
  <c r="I15" i="250"/>
  <c r="I13" i="250"/>
  <c r="I12" i="250"/>
  <c r="I11" i="250"/>
  <c r="I10" i="250"/>
  <c r="I9" i="250"/>
  <c r="I8" i="250"/>
  <c r="I7" i="250"/>
  <c r="G16" i="280" l="1"/>
  <c r="F16" i="280"/>
  <c r="G15" i="280"/>
  <c r="F15" i="280"/>
  <c r="J15" i="280" s="1"/>
  <c r="G14" i="280"/>
  <c r="F14" i="280"/>
  <c r="G13" i="280"/>
  <c r="F13" i="280"/>
  <c r="J13" i="280" s="1"/>
  <c r="G12" i="280"/>
  <c r="F12" i="280"/>
  <c r="G11" i="280"/>
  <c r="F11" i="280"/>
  <c r="J11" i="280" s="1"/>
  <c r="G10" i="280"/>
  <c r="F10" i="280"/>
  <c r="G9" i="280"/>
  <c r="F9" i="280"/>
  <c r="J9" i="280" s="1"/>
  <c r="F8" i="280"/>
  <c r="G7" i="280"/>
  <c r="K7" i="280" s="1"/>
  <c r="F7" i="280"/>
  <c r="J7" i="280" s="1"/>
  <c r="A7" i="280"/>
  <c r="H8" i="280" l="1"/>
  <c r="H17" i="280" s="1"/>
  <c r="I8" i="280"/>
  <c r="K9" i="280"/>
  <c r="K13" i="280"/>
  <c r="K11" i="280"/>
  <c r="K15" i="280"/>
  <c r="J8" i="280"/>
  <c r="K8" i="280" s="1"/>
  <c r="J10" i="280"/>
  <c r="J12" i="280"/>
  <c r="J14" i="280"/>
  <c r="J16" i="280"/>
  <c r="K16" i="280"/>
  <c r="G8" i="280"/>
  <c r="K10" i="280"/>
  <c r="K12" i="280"/>
  <c r="K14" i="280"/>
  <c r="G13" i="250" l="1"/>
  <c r="G7" i="250"/>
  <c r="F16" i="250"/>
  <c r="J16" i="250" s="1"/>
  <c r="F15" i="250"/>
  <c r="J15" i="250" s="1"/>
  <c r="F14" i="250"/>
  <c r="F13" i="250"/>
  <c r="F12" i="250"/>
  <c r="J12" i="250" s="1"/>
  <c r="F11" i="250"/>
  <c r="J11" i="250" s="1"/>
  <c r="F10" i="250"/>
  <c r="F9" i="250"/>
  <c r="F8" i="250"/>
  <c r="J8" i="250" s="1"/>
  <c r="F7" i="250"/>
  <c r="J7" i="250" s="1"/>
  <c r="A7" i="250"/>
  <c r="O39" i="263"/>
  <c r="O43" i="263" s="1"/>
  <c r="O37" i="263"/>
  <c r="O35" i="263"/>
  <c r="H37" i="263"/>
  <c r="O33" i="263" s="1"/>
  <c r="H31" i="263"/>
  <c r="O31" i="263"/>
  <c r="C41" i="263"/>
  <c r="G16" i="173"/>
  <c r="G16" i="170"/>
  <c r="I14" i="250" l="1"/>
  <c r="H14" i="250"/>
  <c r="H17" i="250" s="1"/>
  <c r="G15" i="250"/>
  <c r="G16" i="250"/>
  <c r="C43" i="263"/>
  <c r="G11" i="250"/>
  <c r="K13" i="250"/>
  <c r="J9" i="250"/>
  <c r="J13" i="250"/>
  <c r="G8" i="250"/>
  <c r="G12" i="250"/>
  <c r="J10" i="250"/>
  <c r="J14" i="250"/>
  <c r="G9" i="250"/>
  <c r="K15" i="250"/>
  <c r="G10" i="250"/>
  <c r="G14" i="250"/>
  <c r="K14" i="250" s="1"/>
  <c r="K12" i="250" l="1"/>
  <c r="K7" i="250"/>
  <c r="K8" i="250"/>
  <c r="K11" i="250"/>
  <c r="K16" i="250"/>
  <c r="K10" i="250"/>
  <c r="K9" i="250"/>
</calcChain>
</file>

<file path=xl/sharedStrings.xml><?xml version="1.0" encoding="utf-8"?>
<sst xmlns="http://schemas.openxmlformats.org/spreadsheetml/2006/main" count="106" uniqueCount="61">
  <si>
    <t>DATE</t>
  </si>
  <si>
    <t>OR NO.</t>
  </si>
  <si>
    <t>AMOUNT</t>
  </si>
  <si>
    <t>VAT - OT</t>
  </si>
  <si>
    <t>PF</t>
  </si>
  <si>
    <t>EWT</t>
  </si>
  <si>
    <t>PARTICULARS</t>
  </si>
  <si>
    <t>TOTAL</t>
  </si>
  <si>
    <t>M. SHARE</t>
  </si>
  <si>
    <t>PF DISTRIBUTION</t>
  </si>
  <si>
    <t>PATIENT NAME</t>
  </si>
  <si>
    <t>REHAB</t>
  </si>
  <si>
    <t>MGT</t>
  </si>
  <si>
    <t>OR/PR NO.</t>
  </si>
  <si>
    <t>PAID</t>
  </si>
  <si>
    <t>VAT</t>
  </si>
  <si>
    <t>SHARE (70%)</t>
  </si>
  <si>
    <t>SHARE (30%)</t>
  </si>
  <si>
    <t>BALANCER</t>
  </si>
  <si>
    <t xml:space="preserve"> NAME : </t>
  </si>
  <si>
    <t xml:space="preserve"> </t>
  </si>
  <si>
    <t xml:space="preserve">PATIENT NAME </t>
  </si>
  <si>
    <t>Checked by: ____________</t>
  </si>
  <si>
    <t>Date: _____________</t>
  </si>
  <si>
    <t xml:space="preserve">MD'S NAME : </t>
  </si>
  <si>
    <t>CONSULT/PWD</t>
  </si>
  <si>
    <t>CONSULT</t>
  </si>
  <si>
    <t>CONSULT/SLC</t>
  </si>
  <si>
    <t>MC</t>
  </si>
  <si>
    <t>ORTHO &amp; PT UNIT</t>
  </si>
  <si>
    <t>DISCOUNTED</t>
  </si>
  <si>
    <t>DELA PAZ, MIGUEL</t>
  </si>
  <si>
    <t>CHECK DATE:</t>
  </si>
  <si>
    <t>CHECK NO.:</t>
  </si>
  <si>
    <t>BANK NAME:</t>
  </si>
  <si>
    <t>NOTES</t>
  </si>
  <si>
    <t>OSCA/PWD/
Other ID No:</t>
  </si>
  <si>
    <t>SC#1201132 MARIKINA</t>
  </si>
  <si>
    <t>CONSULT/SC</t>
  </si>
  <si>
    <t>PWD#7852649 MARIKINA</t>
  </si>
  <si>
    <t>SLC#45632 CAINTA, RIZAL</t>
  </si>
  <si>
    <t>CASH PAID</t>
  </si>
  <si>
    <t>BERGSTEIN, AKI</t>
  </si>
  <si>
    <t>CASH/CHARGE:</t>
  </si>
  <si>
    <t>CHANGE DUE:</t>
  </si>
  <si>
    <t>ANG, MARI</t>
  </si>
  <si>
    <t>JOCSON, MICHELLE</t>
  </si>
  <si>
    <t>Released by:</t>
  </si>
  <si>
    <t>Received by:</t>
  </si>
  <si>
    <t>__________________</t>
  </si>
  <si>
    <t>WI PRICE</t>
  </si>
  <si>
    <t>PROCEDURE/SLC</t>
  </si>
  <si>
    <t>SLC#1104562 MARIKINA</t>
  </si>
  <si>
    <t>PT</t>
  </si>
  <si>
    <t>HERNANDEZ, SEBASTIAN MATTHEW</t>
  </si>
  <si>
    <t>PAYMENT TRANSACTIONS COLLECTED</t>
  </si>
  <si>
    <t>DR. LAST NAME, FIRST &amp; MIDDLE NAMES</t>
  </si>
  <si>
    <t>LAST NAME, FIRST &amp; MIDDLE NAMES</t>
  </si>
  <si>
    <t>CASHIER NAME: LAST NAME, FIRST &amp; MIDDLE NAMES</t>
  </si>
  <si>
    <t>ESPIRITU, JUDY</t>
  </si>
  <si>
    <t>HEALTH CARE CENTRE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</si>
</sst>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[$-409]mmmm\ d\,\ yyyy;@"/>
    <numFmt numFmtId="166" formatCode="dddd\,\ mmm\ dd\,\ yyyy"/>
  </numFmts>
  <fonts count="64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b/>
      <sz val="11"/>
      <name val="Franklin Gothic Medium"/>
      <family val="2"/>
    </font>
    <font>
      <b/>
      <sz val="11"/>
      <name val="Arial"/>
      <family val="2"/>
    </font>
    <font>
      <sz val="10"/>
      <name val="Arial"/>
      <family val="2"/>
    </font>
    <font>
      <sz val="14"/>
      <name val="Arial Narrow"/>
      <family val="2"/>
    </font>
    <font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3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3"/>
      <name val="Arial"/>
      <family val="2"/>
    </font>
    <font>
      <sz val="8"/>
      <name val="Franklin Gothic Medium"/>
      <family val="2"/>
    </font>
    <font>
      <b/>
      <sz val="14"/>
      <name val="Franklin Gothic Medium"/>
      <family val="2"/>
    </font>
    <font>
      <b/>
      <sz val="15"/>
      <color indexed="10"/>
      <name val="Times New Roman"/>
      <family val="1"/>
    </font>
    <font>
      <b/>
      <sz val="10"/>
      <name val="Franklin Gothic Medium"/>
      <family val="2"/>
    </font>
    <font>
      <sz val="9"/>
      <name val="Franklin Gothic Medium"/>
      <family val="2"/>
    </font>
    <font>
      <sz val="10"/>
      <name val="Franklin Gothic Medium"/>
      <family val="2"/>
    </font>
    <font>
      <b/>
      <sz val="7"/>
      <name val="Franklin Gothic Medium"/>
      <family val="2"/>
    </font>
    <font>
      <sz val="8"/>
      <name val="Arial"/>
      <family val="2"/>
    </font>
    <font>
      <sz val="7"/>
      <name val="Franklin Gothic Medium"/>
      <family val="2"/>
    </font>
    <font>
      <b/>
      <sz val="8"/>
      <color indexed="12"/>
      <name val="Franklin Gothic Medium"/>
      <family val="2"/>
    </font>
    <font>
      <u/>
      <sz val="8"/>
      <name val="Franklin Gothic Medium"/>
      <family val="2"/>
    </font>
    <font>
      <u/>
      <sz val="7"/>
      <name val="Franklin Gothic Medium"/>
      <family val="2"/>
    </font>
    <font>
      <sz val="6"/>
      <name val="Franklin Gothic Medium"/>
      <family val="2"/>
    </font>
    <font>
      <b/>
      <sz val="10"/>
      <name val="Arial"/>
      <family val="2"/>
    </font>
    <font>
      <b/>
      <sz val="9"/>
      <name val="Franklin Gothic Medium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theme="5" tint="-0.249977111117893"/>
      <name val="Calibri"/>
      <family val="2"/>
      <scheme val="minor"/>
    </font>
    <font>
      <sz val="1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8"/>
      <color theme="4" tint="-0.499984740745262"/>
      <name val="Franklin Gothic Medium"/>
      <family val="2"/>
    </font>
    <font>
      <sz val="8"/>
      <color theme="4" tint="-0.499984740745262"/>
      <name val="Arial"/>
      <family val="2"/>
    </font>
    <font>
      <sz val="10"/>
      <color theme="4" tint="-0.499984740745262"/>
      <name val="Franklin Gothic Book"/>
      <family val="2"/>
    </font>
    <font>
      <sz val="10"/>
      <color theme="4" tint="-0.499984740745262"/>
      <name val="Franklin Gothic Medium"/>
      <family val="2"/>
    </font>
    <font>
      <sz val="9"/>
      <color theme="4" tint="-0.499984740745262"/>
      <name val="Franklin Gothic Medium"/>
      <family val="2"/>
    </font>
    <font>
      <sz val="10"/>
      <color theme="4" tint="-0.499984740745262"/>
      <name val="Arial"/>
      <family val="2"/>
    </font>
    <font>
      <sz val="9"/>
      <color theme="4" tint="-0.499984740745262"/>
      <name val="Arial"/>
      <family val="2"/>
    </font>
    <font>
      <b/>
      <u/>
      <sz val="1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32">
    <xf numFmtId="0" fontId="0" fillId="0" borderId="0"/>
    <xf numFmtId="0" fontId="15" fillId="2" borderId="0" applyNumberFormat="0" applyBorder="0" applyAlignment="0" applyProtection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8" fillId="20" borderId="1" applyNumberFormat="0" applyAlignment="0" applyProtection="0"/>
    <xf numFmtId="0" fontId="18" fillId="20" borderId="1" applyNumberFormat="0" applyAlignment="0" applyProtection="0"/>
    <xf numFmtId="0" fontId="19" fillId="21" borderId="2" applyNumberFormat="0" applyAlignment="0" applyProtection="0"/>
    <xf numFmtId="0" fontId="19" fillId="21" borderId="2" applyNumberFormat="0" applyAlignment="0" applyProtection="0"/>
    <xf numFmtId="164" fontId="48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2" fillId="0" borderId="3" applyNumberFormat="0" applyFill="0" applyAlignment="0" applyProtection="0"/>
    <xf numFmtId="0" fontId="22" fillId="0" borderId="3" applyNumberFormat="0" applyFill="0" applyAlignment="0" applyProtection="0"/>
    <xf numFmtId="0" fontId="23" fillId="0" borderId="4" applyNumberFormat="0" applyFill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24" fillId="0" borderId="5" applyNumberFormat="0" applyFill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6" fillId="0" borderId="6" applyNumberFormat="0" applyFill="0" applyAlignment="0" applyProtection="0"/>
    <xf numFmtId="0" fontId="26" fillId="0" borderId="6" applyNumberFormat="0" applyFill="0" applyAlignment="0" applyProtection="0"/>
    <xf numFmtId="0" fontId="27" fillId="22" borderId="0" applyNumberFormat="0" applyBorder="0" applyAlignment="0" applyProtection="0"/>
    <xf numFmtId="0" fontId="27" fillId="22" borderId="0" applyNumberFormat="0" applyBorder="0" applyAlignment="0" applyProtection="0"/>
    <xf numFmtId="0" fontId="4" fillId="0" borderId="0"/>
    <xf numFmtId="0" fontId="4" fillId="0" borderId="0"/>
    <xf numFmtId="0" fontId="48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8" fillId="0" borderId="0"/>
    <xf numFmtId="0" fontId="3" fillId="0" borderId="0"/>
    <xf numFmtId="0" fontId="3" fillId="0" borderId="0"/>
    <xf numFmtId="0" fontId="48" fillId="0" borderId="0"/>
    <xf numFmtId="0" fontId="3" fillId="0" borderId="0"/>
    <xf numFmtId="0" fontId="48" fillId="0" borderId="0"/>
    <xf numFmtId="0" fontId="48" fillId="0" borderId="0"/>
    <xf numFmtId="0" fontId="3" fillId="0" borderId="0"/>
    <xf numFmtId="0" fontId="48" fillId="0" borderId="0"/>
    <xf numFmtId="0" fontId="48" fillId="0" borderId="0"/>
    <xf numFmtId="0" fontId="48" fillId="0" borderId="0"/>
    <xf numFmtId="0" fontId="3" fillId="0" borderId="0"/>
    <xf numFmtId="0" fontId="4" fillId="0" borderId="0"/>
    <xf numFmtId="0" fontId="4" fillId="0" borderId="0"/>
    <xf numFmtId="0" fontId="4" fillId="23" borderId="7" applyNumberFormat="0" applyFont="0" applyAlignment="0" applyProtection="0"/>
    <xf numFmtId="0" fontId="4" fillId="23" borderId="7" applyNumberFormat="0" applyFont="0" applyAlignment="0" applyProtection="0"/>
    <xf numFmtId="0" fontId="28" fillId="20" borderId="8" applyNumberFormat="0" applyAlignment="0" applyProtection="0"/>
    <xf numFmtId="0" fontId="28" fillId="20" borderId="8" applyNumberFormat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9" applyNumberFormat="0" applyFill="0" applyAlignment="0" applyProtection="0"/>
    <xf numFmtId="0" fontId="30" fillId="0" borderId="9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</cellStyleXfs>
  <cellXfs count="221">
    <xf numFmtId="0" fontId="0" fillId="0" borderId="0" xfId="0"/>
    <xf numFmtId="0" fontId="2" fillId="0" borderId="0" xfId="0" applyFont="1"/>
    <xf numFmtId="0" fontId="3" fillId="0" borderId="0" xfId="0" applyFont="1"/>
    <xf numFmtId="0" fontId="6" fillId="0" borderId="0" xfId="0" applyFont="1"/>
    <xf numFmtId="0" fontId="6" fillId="0" borderId="0" xfId="0" applyFont="1" applyBorder="1"/>
    <xf numFmtId="0" fontId="8" fillId="0" borderId="0" xfId="0" applyFont="1" applyBorder="1" applyAlignment="1">
      <alignment horizontal="center"/>
    </xf>
    <xf numFmtId="0" fontId="8" fillId="0" borderId="0" xfId="0" applyFont="1"/>
    <xf numFmtId="0" fontId="5" fillId="0" borderId="0" xfId="0" applyFont="1"/>
    <xf numFmtId="164" fontId="10" fillId="0" borderId="0" xfId="0" applyNumberFormat="1" applyFont="1"/>
    <xf numFmtId="0" fontId="11" fillId="0" borderId="10" xfId="0" applyFont="1" applyBorder="1" applyAlignment="1">
      <alignment horizontal="center"/>
    </xf>
    <xf numFmtId="0" fontId="11" fillId="0" borderId="10" xfId="106" applyFont="1" applyBorder="1" applyAlignment="1">
      <alignment horizontal="center"/>
    </xf>
    <xf numFmtId="164" fontId="11" fillId="0" borderId="10" xfId="68" applyFont="1" applyBorder="1"/>
    <xf numFmtId="164" fontId="11" fillId="0" borderId="10" xfId="68" applyFont="1" applyBorder="1" applyAlignment="1"/>
    <xf numFmtId="164" fontId="11" fillId="0" borderId="10" xfId="57" applyFont="1" applyBorder="1"/>
    <xf numFmtId="0" fontId="12" fillId="0" borderId="0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11" fillId="0" borderId="10" xfId="0" applyFont="1" applyBorder="1" applyAlignment="1"/>
    <xf numFmtId="0" fontId="11" fillId="0" borderId="0" xfId="0" applyFont="1" applyBorder="1" applyAlignment="1"/>
    <xf numFmtId="0" fontId="3" fillId="0" borderId="0" xfId="0" applyFont="1" applyBorder="1" applyAlignment="1">
      <alignment horizontal="center"/>
    </xf>
    <xf numFmtId="0" fontId="49" fillId="0" borderId="0" xfId="95" applyFont="1" applyAlignment="1">
      <alignment horizontal="left"/>
    </xf>
    <xf numFmtId="0" fontId="50" fillId="0" borderId="0" xfId="95" applyFont="1" applyAlignment="1">
      <alignment horizontal="left"/>
    </xf>
    <xf numFmtId="164" fontId="50" fillId="0" borderId="0" xfId="55" applyFont="1" applyAlignment="1">
      <alignment horizontal="left"/>
    </xf>
    <xf numFmtId="165" fontId="51" fillId="0" borderId="0" xfId="95" applyNumberFormat="1" applyFont="1" applyAlignment="1">
      <alignment horizontal="left"/>
    </xf>
    <xf numFmtId="15" fontId="49" fillId="0" borderId="0" xfId="95" quotePrefix="1" applyNumberFormat="1" applyFont="1" applyAlignment="1">
      <alignment horizontal="left"/>
    </xf>
    <xf numFmtId="164" fontId="50" fillId="24" borderId="11" xfId="55" applyFont="1" applyFill="1" applyBorder="1" applyAlignment="1">
      <alignment horizontal="center"/>
    </xf>
    <xf numFmtId="164" fontId="49" fillId="24" borderId="12" xfId="55" applyFont="1" applyFill="1" applyBorder="1" applyAlignment="1">
      <alignment horizontal="center"/>
    </xf>
    <xf numFmtId="164" fontId="49" fillId="24" borderId="11" xfId="55" applyFont="1" applyFill="1" applyBorder="1" applyAlignment="1">
      <alignment horizontal="center"/>
    </xf>
    <xf numFmtId="164" fontId="49" fillId="24" borderId="13" xfId="55" applyFont="1" applyFill="1" applyBorder="1" applyAlignment="1">
      <alignment horizontal="center"/>
    </xf>
    <xf numFmtId="164" fontId="50" fillId="24" borderId="13" xfId="55" applyFont="1" applyFill="1" applyBorder="1" applyAlignment="1">
      <alignment horizontal="center"/>
    </xf>
    <xf numFmtId="0" fontId="50" fillId="0" borderId="0" xfId="95" applyFont="1" applyAlignment="1">
      <alignment horizontal="center"/>
    </xf>
    <xf numFmtId="0" fontId="50" fillId="0" borderId="0" xfId="113" applyFont="1" applyFill="1" applyAlignment="1">
      <alignment horizontal="center"/>
    </xf>
    <xf numFmtId="0" fontId="52" fillId="0" borderId="0" xfId="113" applyFont="1" applyFill="1" applyBorder="1" applyAlignment="1">
      <alignment horizontal="left"/>
    </xf>
    <xf numFmtId="0" fontId="52" fillId="0" borderId="0" xfId="95" applyFont="1" applyBorder="1" applyAlignment="1">
      <alignment horizontal="left"/>
    </xf>
    <xf numFmtId="0" fontId="53" fillId="0" borderId="0" xfId="113" applyFont="1" applyFill="1" applyAlignment="1">
      <alignment horizontal="left"/>
    </xf>
    <xf numFmtId="0" fontId="53" fillId="0" borderId="0" xfId="95" applyFont="1" applyAlignment="1">
      <alignment horizontal="left"/>
    </xf>
    <xf numFmtId="0" fontId="54" fillId="0" borderId="0" xfId="95" applyFont="1" applyAlignment="1">
      <alignment horizontal="left"/>
    </xf>
    <xf numFmtId="164" fontId="54" fillId="0" borderId="0" xfId="55" applyFont="1" applyAlignment="1">
      <alignment horizontal="left"/>
    </xf>
    <xf numFmtId="0" fontId="3" fillId="0" borderId="0" xfId="0" applyFont="1" applyBorder="1"/>
    <xf numFmtId="0" fontId="32" fillId="0" borderId="10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10" xfId="106" applyFont="1" applyBorder="1" applyAlignment="1">
      <alignment horizontal="center"/>
    </xf>
    <xf numFmtId="0" fontId="13" fillId="0" borderId="10" xfId="106" applyFont="1" applyBorder="1" applyAlignment="1">
      <alignment horizontal="center"/>
    </xf>
    <xf numFmtId="0" fontId="6" fillId="0" borderId="14" xfId="0" applyFont="1" applyBorder="1"/>
    <xf numFmtId="0" fontId="6" fillId="0" borderId="15" xfId="0" applyFont="1" applyBorder="1"/>
    <xf numFmtId="0" fontId="6" fillId="0" borderId="16" xfId="0" applyFont="1" applyBorder="1"/>
    <xf numFmtId="0" fontId="12" fillId="0" borderId="17" xfId="0" applyFont="1" applyBorder="1"/>
    <xf numFmtId="0" fontId="6" fillId="0" borderId="18" xfId="0" applyFont="1" applyBorder="1"/>
    <xf numFmtId="0" fontId="6" fillId="0" borderId="17" xfId="0" applyFont="1" applyBorder="1"/>
    <xf numFmtId="14" fontId="11" fillId="0" borderId="10" xfId="0" applyNumberFormat="1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8" fillId="0" borderId="17" xfId="0" applyFont="1" applyBorder="1" applyAlignment="1"/>
    <xf numFmtId="0" fontId="8" fillId="0" borderId="18" xfId="0" applyFont="1" applyBorder="1" applyAlignment="1">
      <alignment horizontal="center"/>
    </xf>
    <xf numFmtId="0" fontId="12" fillId="0" borderId="17" xfId="0" applyFont="1" applyBorder="1" applyAlignment="1"/>
    <xf numFmtId="0" fontId="6" fillId="0" borderId="18" xfId="0" applyFont="1" applyBorder="1" applyAlignment="1">
      <alignment horizontal="center"/>
    </xf>
    <xf numFmtId="0" fontId="0" fillId="0" borderId="19" xfId="0" quotePrefix="1" applyBorder="1"/>
    <xf numFmtId="0" fontId="0" fillId="0" borderId="20" xfId="0" applyBorder="1"/>
    <xf numFmtId="0" fontId="0" fillId="0" borderId="21" xfId="0" applyBorder="1"/>
    <xf numFmtId="164" fontId="11" fillId="0" borderId="22" xfId="0" applyNumberFormat="1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11" fillId="0" borderId="0" xfId="0" applyFont="1"/>
    <xf numFmtId="0" fontId="6" fillId="0" borderId="0" xfId="0" applyFont="1" applyBorder="1" applyAlignment="1"/>
    <xf numFmtId="0" fontId="6" fillId="0" borderId="0" xfId="106" applyFont="1" applyBorder="1" applyAlignment="1">
      <alignment horizontal="center"/>
    </xf>
    <xf numFmtId="164" fontId="6" fillId="0" borderId="0" xfId="68" applyFont="1" applyBorder="1"/>
    <xf numFmtId="164" fontId="6" fillId="0" borderId="0" xfId="68" applyFont="1" applyBorder="1" applyAlignment="1"/>
    <xf numFmtId="164" fontId="6" fillId="0" borderId="0" xfId="57" applyFont="1" applyBorder="1"/>
    <xf numFmtId="0" fontId="50" fillId="0" borderId="0" xfId="113" applyFont="1" applyFill="1" applyBorder="1" applyAlignment="1">
      <alignment horizontal="left"/>
    </xf>
    <xf numFmtId="0" fontId="55" fillId="0" borderId="0" xfId="113" applyFont="1" applyFill="1" applyAlignment="1">
      <alignment horizontal="left"/>
    </xf>
    <xf numFmtId="0" fontId="6" fillId="0" borderId="0" xfId="0" applyFont="1" applyBorder="1" applyAlignment="1" applyProtection="1"/>
    <xf numFmtId="0" fontId="6" fillId="0" borderId="0" xfId="0" applyFont="1" applyBorder="1" applyAlignment="1" applyProtection="1">
      <alignment horizontal="center"/>
    </xf>
    <xf numFmtId="0" fontId="6" fillId="0" borderId="0" xfId="106" applyFont="1" applyBorder="1" applyAlignment="1" applyProtection="1">
      <alignment horizontal="center"/>
    </xf>
    <xf numFmtId="164" fontId="6" fillId="0" borderId="0" xfId="0" applyNumberFormat="1" applyFont="1" applyBorder="1"/>
    <xf numFmtId="0" fontId="6" fillId="0" borderId="0" xfId="95" applyFont="1" applyAlignment="1">
      <alignment horizontal="left"/>
    </xf>
    <xf numFmtId="164" fontId="6" fillId="0" borderId="0" xfId="55" applyFont="1" applyAlignment="1">
      <alignment horizontal="left"/>
    </xf>
    <xf numFmtId="164" fontId="6" fillId="25" borderId="0" xfId="55" applyFont="1" applyFill="1" applyAlignment="1">
      <alignment horizontal="left"/>
    </xf>
    <xf numFmtId="0" fontId="11" fillId="0" borderId="0" xfId="0" applyFont="1" applyBorder="1"/>
    <xf numFmtId="164" fontId="6" fillId="0" borderId="0" xfId="68" applyFont="1" applyBorder="1" applyProtection="1"/>
    <xf numFmtId="0" fontId="0" fillId="0" borderId="0" xfId="0" applyBorder="1"/>
    <xf numFmtId="0" fontId="33" fillId="0" borderId="0" xfId="0" applyFont="1" applyBorder="1" applyAlignment="1">
      <alignment horizontal="left"/>
    </xf>
    <xf numFmtId="0" fontId="33" fillId="0" borderId="0" xfId="0" applyFont="1" applyBorder="1" applyAlignment="1">
      <alignment horizontal="left" indent="2"/>
    </xf>
    <xf numFmtId="0" fontId="34" fillId="0" borderId="0" xfId="0" applyFont="1" applyBorder="1" applyAlignment="1"/>
    <xf numFmtId="0" fontId="35" fillId="0" borderId="0" xfId="0" applyFont="1" applyBorder="1" applyAlignment="1">
      <alignment horizontal="left"/>
    </xf>
    <xf numFmtId="0" fontId="37" fillId="0" borderId="0" xfId="0" applyFont="1" applyBorder="1" applyAlignment="1">
      <alignment horizontal="left"/>
    </xf>
    <xf numFmtId="0" fontId="37" fillId="0" borderId="0" xfId="0" applyFont="1" applyBorder="1" applyAlignment="1">
      <alignment horizontal="left" indent="3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indent="3"/>
    </xf>
    <xf numFmtId="0" fontId="0" fillId="0" borderId="0" xfId="0" applyAlignment="1">
      <alignment vertical="top"/>
    </xf>
    <xf numFmtId="0" fontId="38" fillId="0" borderId="0" xfId="0" applyFont="1" applyBorder="1"/>
    <xf numFmtId="164" fontId="33" fillId="0" borderId="0" xfId="58" applyFont="1" applyBorder="1" applyAlignment="1">
      <alignment vertical="center"/>
    </xf>
    <xf numFmtId="0" fontId="33" fillId="0" borderId="0" xfId="0" applyFont="1" applyBorder="1" applyAlignment="1">
      <alignment vertical="center"/>
    </xf>
    <xf numFmtId="0" fontId="40" fillId="0" borderId="0" xfId="0" applyFont="1" applyBorder="1" applyAlignment="1">
      <alignment vertical="center"/>
    </xf>
    <xf numFmtId="164" fontId="33" fillId="0" borderId="0" xfId="58" applyFont="1" applyBorder="1" applyAlignment="1"/>
    <xf numFmtId="164" fontId="41" fillId="0" borderId="0" xfId="58" applyFont="1" applyBorder="1" applyAlignment="1">
      <alignment vertical="top"/>
    </xf>
    <xf numFmtId="0" fontId="33" fillId="0" borderId="0" xfId="0" applyFont="1" applyBorder="1" applyAlignment="1">
      <alignment horizontal="left" vertical="center"/>
    </xf>
    <xf numFmtId="0" fontId="40" fillId="0" borderId="0" xfId="0" applyFont="1" applyAlignment="1">
      <alignment vertical="center"/>
    </xf>
    <xf numFmtId="0" fontId="42" fillId="0" borderId="0" xfId="0" applyFont="1" applyBorder="1" applyAlignment="1">
      <alignment horizontal="left" vertical="center"/>
    </xf>
    <xf numFmtId="164" fontId="38" fillId="0" borderId="0" xfId="58" applyFont="1" applyBorder="1" applyAlignment="1"/>
    <xf numFmtId="0" fontId="40" fillId="0" borderId="0" xfId="0" applyFont="1"/>
    <xf numFmtId="0" fontId="43" fillId="0" borderId="0" xfId="0" applyFont="1" applyBorder="1" applyAlignment="1"/>
    <xf numFmtId="0" fontId="41" fillId="0" borderId="0" xfId="0" applyFont="1" applyBorder="1" applyAlignment="1"/>
    <xf numFmtId="0" fontId="45" fillId="0" borderId="0" xfId="0" applyFont="1" applyBorder="1" applyAlignment="1">
      <alignment wrapText="1"/>
    </xf>
    <xf numFmtId="0" fontId="46" fillId="0" borderId="0" xfId="0" applyFont="1" applyFill="1"/>
    <xf numFmtId="0" fontId="0" fillId="0" borderId="0" xfId="0" applyFill="1"/>
    <xf numFmtId="0" fontId="44" fillId="0" borderId="0" xfId="0" applyFont="1" applyBorder="1" applyAlignment="1"/>
    <xf numFmtId="0" fontId="56" fillId="0" borderId="0" xfId="0" applyFont="1" applyBorder="1" applyAlignment="1">
      <alignment vertical="center"/>
    </xf>
    <xf numFmtId="164" fontId="56" fillId="0" borderId="0" xfId="58" applyFont="1" applyBorder="1" applyAlignment="1">
      <alignment vertical="center"/>
    </xf>
    <xf numFmtId="0" fontId="57" fillId="0" borderId="0" xfId="0" applyFont="1" applyAlignment="1">
      <alignment vertical="center"/>
    </xf>
    <xf numFmtId="0" fontId="58" fillId="0" borderId="0" xfId="0" applyFont="1" applyBorder="1"/>
    <xf numFmtId="0" fontId="56" fillId="0" borderId="0" xfId="93" applyFont="1" applyBorder="1" applyAlignment="1"/>
    <xf numFmtId="0" fontId="59" fillId="0" borderId="0" xfId="0" applyFont="1" applyBorder="1"/>
    <xf numFmtId="164" fontId="56" fillId="0" borderId="0" xfId="58" applyFont="1" applyBorder="1" applyAlignment="1"/>
    <xf numFmtId="164" fontId="49" fillId="24" borderId="23" xfId="55" applyFont="1" applyFill="1" applyBorder="1" applyAlignment="1">
      <alignment horizontal="center"/>
    </xf>
    <xf numFmtId="164" fontId="49" fillId="24" borderId="24" xfId="55" applyFont="1" applyFill="1" applyBorder="1" applyAlignment="1">
      <alignment horizontal="center"/>
    </xf>
    <xf numFmtId="164" fontId="49" fillId="24" borderId="25" xfId="55" applyFont="1" applyFill="1" applyBorder="1" applyAlignment="1">
      <alignment horizontal="center"/>
    </xf>
    <xf numFmtId="0" fontId="60" fillId="0" borderId="0" xfId="0" applyFont="1" applyBorder="1" applyAlignment="1">
      <alignment horizontal="center" vertical="center"/>
    </xf>
    <xf numFmtId="0" fontId="6" fillId="0" borderId="0" xfId="0" applyFont="1" applyBorder="1" applyProtection="1"/>
    <xf numFmtId="164" fontId="37" fillId="0" borderId="0" xfId="58" applyFont="1" applyBorder="1"/>
    <xf numFmtId="164" fontId="5" fillId="0" borderId="0" xfId="58" applyFont="1" applyBorder="1"/>
    <xf numFmtId="0" fontId="38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vertical="top"/>
    </xf>
    <xf numFmtId="0" fontId="0" fillId="0" borderId="0" xfId="0" applyBorder="1" applyAlignment="1">
      <alignment vertical="top"/>
    </xf>
    <xf numFmtId="164" fontId="39" fillId="0" borderId="0" xfId="58" applyFont="1" applyBorder="1" applyAlignment="1">
      <alignment vertical="center"/>
    </xf>
    <xf numFmtId="0" fontId="60" fillId="0" borderId="0" xfId="0" applyFont="1" applyBorder="1"/>
    <xf numFmtId="164" fontId="6" fillId="0" borderId="0" xfId="113" applyNumberFormat="1" applyFont="1" applyFill="1" applyBorder="1" applyAlignment="1">
      <alignment horizontal="left"/>
    </xf>
    <xf numFmtId="164" fontId="6" fillId="0" borderId="0" xfId="95" applyNumberFormat="1" applyFont="1" applyAlignment="1">
      <alignment horizontal="left"/>
    </xf>
    <xf numFmtId="0" fontId="56" fillId="0" borderId="0" xfId="96" applyFont="1" applyBorder="1" applyAlignment="1">
      <alignment horizontal="right"/>
    </xf>
    <xf numFmtId="0" fontId="59" fillId="0" borderId="0" xfId="93" applyFont="1" applyBorder="1" applyAlignment="1"/>
    <xf numFmtId="164" fontId="59" fillId="0" borderId="0" xfId="58" applyFont="1" applyBorder="1" applyAlignment="1"/>
    <xf numFmtId="164" fontId="37" fillId="0" borderId="0" xfId="58" applyFont="1" applyBorder="1" applyAlignment="1">
      <alignment vertical="top"/>
    </xf>
    <xf numFmtId="164" fontId="33" fillId="0" borderId="0" xfId="58" applyFont="1" applyBorder="1" applyAlignment="1">
      <alignment vertical="top"/>
    </xf>
    <xf numFmtId="0" fontId="40" fillId="0" borderId="0" xfId="0" applyFont="1" applyBorder="1"/>
    <xf numFmtId="0" fontId="59" fillId="0" borderId="0" xfId="0" applyFont="1" applyBorder="1" applyAlignment="1">
      <alignment horizontal="left" vertical="center"/>
    </xf>
    <xf numFmtId="0" fontId="61" fillId="0" borderId="0" xfId="0" applyFont="1" applyBorder="1"/>
    <xf numFmtId="0" fontId="61" fillId="0" borderId="0" xfId="0" applyFont="1"/>
    <xf numFmtId="0" fontId="12" fillId="0" borderId="0" xfId="0" applyFont="1" applyBorder="1" applyAlignment="1">
      <alignment horizontal="right"/>
    </xf>
    <xf numFmtId="0" fontId="12" fillId="0" borderId="0" xfId="0" applyFont="1" applyAlignment="1">
      <alignment horizontal="left"/>
    </xf>
    <xf numFmtId="164" fontId="57" fillId="0" borderId="0" xfId="58" applyFont="1" applyBorder="1" applyAlignment="1">
      <alignment vertical="center"/>
    </xf>
    <xf numFmtId="164" fontId="40" fillId="0" borderId="0" xfId="58" applyFont="1" applyBorder="1" applyAlignment="1">
      <alignment vertical="top"/>
    </xf>
    <xf numFmtId="0" fontId="57" fillId="0" borderId="0" xfId="0" applyFont="1" applyBorder="1" applyAlignment="1">
      <alignment vertical="center"/>
    </xf>
    <xf numFmtId="164" fontId="57" fillId="0" borderId="0" xfId="0" applyNumberFormat="1" applyFont="1" applyBorder="1" applyAlignment="1">
      <alignment vertical="center"/>
    </xf>
    <xf numFmtId="4" fontId="62" fillId="0" borderId="0" xfId="59" applyNumberFormat="1" applyFont="1" applyFill="1" applyBorder="1" applyAlignment="1">
      <alignment horizontal="right" vertical="center"/>
    </xf>
    <xf numFmtId="164" fontId="62" fillId="0" borderId="0" xfId="58" applyFont="1" applyFill="1" applyBorder="1" applyAlignment="1">
      <alignment vertical="center"/>
    </xf>
    <xf numFmtId="164" fontId="57" fillId="0" borderId="0" xfId="58" applyFont="1" applyBorder="1" applyAlignment="1"/>
    <xf numFmtId="164" fontId="62" fillId="0" borderId="0" xfId="59" applyFont="1" applyFill="1" applyBorder="1" applyAlignment="1">
      <alignment horizontal="right" vertical="center"/>
    </xf>
    <xf numFmtId="164" fontId="6" fillId="0" borderId="0" xfId="113" applyNumberFormat="1" applyFont="1" applyFill="1" applyBorder="1" applyAlignment="1" applyProtection="1">
      <alignment horizontal="left"/>
    </xf>
    <xf numFmtId="0" fontId="49" fillId="0" borderId="0" xfId="128" applyFont="1" applyAlignment="1">
      <alignment horizontal="left"/>
    </xf>
    <xf numFmtId="0" fontId="50" fillId="0" borderId="0" xfId="128" applyFont="1" applyAlignment="1">
      <alignment horizontal="left"/>
    </xf>
    <xf numFmtId="164" fontId="50" fillId="0" borderId="0" xfId="129" applyFont="1" applyAlignment="1">
      <alignment horizontal="left"/>
    </xf>
    <xf numFmtId="164" fontId="49" fillId="0" borderId="0" xfId="129" applyFont="1" applyBorder="1" applyAlignment="1">
      <alignment horizontal="center"/>
    </xf>
    <xf numFmtId="165" fontId="51" fillId="0" borderId="0" xfId="128" applyNumberFormat="1" applyFont="1" applyAlignment="1">
      <alignment horizontal="left"/>
    </xf>
    <xf numFmtId="15" fontId="49" fillId="0" borderId="0" xfId="128" quotePrefix="1" applyNumberFormat="1" applyFont="1" applyAlignment="1">
      <alignment horizontal="left"/>
    </xf>
    <xf numFmtId="164" fontId="49" fillId="0" borderId="0" xfId="129" applyFont="1" applyFill="1" applyBorder="1" applyAlignment="1">
      <alignment horizontal="center"/>
    </xf>
    <xf numFmtId="15" fontId="51" fillId="0" borderId="0" xfId="128" quotePrefix="1" applyNumberFormat="1" applyFont="1" applyAlignment="1" applyProtection="1">
      <alignment horizontal="left"/>
    </xf>
    <xf numFmtId="164" fontId="49" fillId="24" borderId="11" xfId="129" applyFont="1" applyFill="1" applyBorder="1" applyAlignment="1">
      <alignment horizontal="center"/>
    </xf>
    <xf numFmtId="164" fontId="50" fillId="24" borderId="11" xfId="129" applyFont="1" applyFill="1" applyBorder="1" applyAlignment="1">
      <alignment horizontal="center"/>
    </xf>
    <xf numFmtId="164" fontId="49" fillId="24" borderId="12" xfId="129" applyFont="1" applyFill="1" applyBorder="1" applyAlignment="1">
      <alignment horizontal="center"/>
    </xf>
    <xf numFmtId="164" fontId="49" fillId="24" borderId="13" xfId="129" applyFont="1" applyFill="1" applyBorder="1" applyAlignment="1">
      <alignment horizontal="center"/>
    </xf>
    <xf numFmtId="164" fontId="50" fillId="24" borderId="13" xfId="129" applyFont="1" applyFill="1" applyBorder="1" applyAlignment="1">
      <alignment horizontal="center"/>
    </xf>
    <xf numFmtId="0" fontId="50" fillId="0" borderId="0" xfId="128" applyFont="1" applyAlignment="1">
      <alignment horizontal="center"/>
    </xf>
    <xf numFmtId="164" fontId="49" fillId="24" borderId="23" xfId="129" applyFont="1" applyFill="1" applyBorder="1" applyAlignment="1">
      <alignment horizontal="center"/>
    </xf>
    <xf numFmtId="164" fontId="49" fillId="24" borderId="24" xfId="129" applyFont="1" applyFill="1" applyBorder="1" applyAlignment="1">
      <alignment horizontal="center"/>
    </xf>
    <xf numFmtId="164" fontId="49" fillId="24" borderId="25" xfId="129" applyFont="1" applyFill="1" applyBorder="1" applyAlignment="1">
      <alignment horizontal="center"/>
    </xf>
    <xf numFmtId="0" fontId="50" fillId="0" borderId="0" xfId="131" applyFont="1" applyFill="1" applyAlignment="1">
      <alignment horizontal="center"/>
    </xf>
    <xf numFmtId="14" fontId="6" fillId="0" borderId="0" xfId="93" applyNumberFormat="1" applyFont="1" applyBorder="1" applyAlignment="1">
      <alignment horizontal="center"/>
    </xf>
    <xf numFmtId="0" fontId="6" fillId="0" borderId="0" xfId="93" applyFont="1" applyBorder="1" applyAlignment="1"/>
    <xf numFmtId="0" fontId="6" fillId="0" borderId="0" xfId="93" applyFont="1" applyBorder="1" applyAlignment="1">
      <alignment horizontal="center"/>
    </xf>
    <xf numFmtId="164" fontId="6" fillId="0" borderId="0" xfId="93" applyNumberFormat="1" applyFont="1" applyBorder="1"/>
    <xf numFmtId="0" fontId="6" fillId="0" borderId="0" xfId="93" applyFont="1" applyBorder="1" applyProtection="1"/>
    <xf numFmtId="164" fontId="6" fillId="0" borderId="0" xfId="131" applyNumberFormat="1" applyFont="1" applyFill="1" applyBorder="1" applyAlignment="1">
      <alignment horizontal="left"/>
    </xf>
    <xf numFmtId="0" fontId="50" fillId="0" borderId="0" xfId="131" applyFont="1" applyFill="1" applyBorder="1" applyAlignment="1">
      <alignment horizontal="left"/>
    </xf>
    <xf numFmtId="0" fontId="52" fillId="0" borderId="0" xfId="131" applyFont="1" applyFill="1" applyBorder="1" applyAlignment="1">
      <alignment horizontal="left"/>
    </xf>
    <xf numFmtId="0" fontId="52" fillId="0" borderId="0" xfId="128" applyFont="1" applyBorder="1" applyAlignment="1">
      <alignment horizontal="left"/>
    </xf>
    <xf numFmtId="0" fontId="6" fillId="0" borderId="0" xfId="93" applyFont="1" applyBorder="1" applyAlignment="1" applyProtection="1"/>
    <xf numFmtId="0" fontId="6" fillId="0" borderId="0" xfId="93" applyFont="1" applyBorder="1" applyAlignment="1" applyProtection="1">
      <alignment horizontal="center"/>
    </xf>
    <xf numFmtId="164" fontId="6" fillId="0" borderId="0" xfId="131" applyNumberFormat="1" applyFont="1" applyFill="1" applyBorder="1" applyAlignment="1" applyProtection="1">
      <alignment horizontal="left"/>
    </xf>
    <xf numFmtId="0" fontId="55" fillId="0" borderId="0" xfId="131" applyFont="1" applyFill="1" applyAlignment="1">
      <alignment horizontal="left"/>
    </xf>
    <xf numFmtId="0" fontId="53" fillId="0" borderId="0" xfId="131" applyFont="1" applyFill="1" applyAlignment="1">
      <alignment horizontal="left"/>
    </xf>
    <xf numFmtId="0" fontId="53" fillId="0" borderId="0" xfId="128" applyFont="1" applyAlignment="1">
      <alignment horizontal="left"/>
    </xf>
    <xf numFmtId="0" fontId="54" fillId="0" borderId="0" xfId="128" applyFont="1" applyAlignment="1">
      <alignment horizontal="left"/>
    </xf>
    <xf numFmtId="0" fontId="6" fillId="0" borderId="0" xfId="93" applyFont="1" applyBorder="1"/>
    <xf numFmtId="164" fontId="6" fillId="0" borderId="0" xfId="128" applyNumberFormat="1" applyFont="1" applyAlignment="1">
      <alignment horizontal="left"/>
    </xf>
    <xf numFmtId="0" fontId="6" fillId="0" borderId="0" xfId="93" quotePrefix="1" applyFont="1" applyBorder="1"/>
    <xf numFmtId="0" fontId="6" fillId="0" borderId="0" xfId="128" applyFont="1" applyAlignment="1">
      <alignment horizontal="left"/>
    </xf>
    <xf numFmtId="164" fontId="6" fillId="0" borderId="0" xfId="129" applyFont="1" applyAlignment="1">
      <alignment horizontal="left"/>
    </xf>
    <xf numFmtId="164" fontId="6" fillId="25" borderId="0" xfId="129" applyFont="1" applyFill="1" applyAlignment="1">
      <alignment horizontal="left"/>
    </xf>
    <xf numFmtId="0" fontId="3" fillId="0" borderId="0" xfId="93" applyFont="1" applyBorder="1"/>
    <xf numFmtId="0" fontId="3" fillId="0" borderId="0" xfId="93" applyFont="1" applyBorder="1" applyAlignment="1">
      <alignment horizontal="center"/>
    </xf>
    <xf numFmtId="164" fontId="54" fillId="0" borderId="0" xfId="129" applyFont="1" applyAlignment="1">
      <alignment horizontal="left"/>
    </xf>
    <xf numFmtId="0" fontId="7" fillId="0" borderId="17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166" fontId="59" fillId="0" borderId="0" xfId="0" applyNumberFormat="1" applyFont="1" applyBorder="1" applyAlignment="1">
      <alignment horizontal="right" vertical="top"/>
    </xf>
    <xf numFmtId="0" fontId="60" fillId="0" borderId="0" xfId="0" applyFont="1" applyBorder="1" applyAlignment="1">
      <alignment horizontal="right" vertical="center"/>
    </xf>
    <xf numFmtId="0" fontId="38" fillId="0" borderId="0" xfId="0" applyFont="1" applyBorder="1" applyAlignment="1">
      <alignment horizontal="center"/>
    </xf>
    <xf numFmtId="164" fontId="47" fillId="0" borderId="0" xfId="58" applyFont="1" applyBorder="1" applyAlignment="1">
      <alignment horizontal="center" vertical="center"/>
    </xf>
    <xf numFmtId="164" fontId="56" fillId="0" borderId="0" xfId="58" applyFont="1" applyBorder="1" applyAlignment="1">
      <alignment horizontal="left" vertical="center"/>
    </xf>
    <xf numFmtId="0" fontId="59" fillId="0" borderId="0" xfId="0" applyFont="1" applyBorder="1" applyAlignment="1">
      <alignment horizontal="left" vertical="top" indent="4"/>
    </xf>
    <xf numFmtId="0" fontId="37" fillId="0" borderId="0" xfId="0" applyFont="1" applyBorder="1" applyAlignment="1">
      <alignment horizontal="center"/>
    </xf>
    <xf numFmtId="0" fontId="41" fillId="0" borderId="0" xfId="0" applyFont="1" applyBorder="1" applyAlignment="1">
      <alignment horizontal="center"/>
    </xf>
    <xf numFmtId="164" fontId="63" fillId="0" borderId="11" xfId="55" applyFont="1" applyFill="1" applyBorder="1" applyAlignment="1">
      <alignment horizontal="center" vertical="center"/>
    </xf>
    <xf numFmtId="164" fontId="63" fillId="0" borderId="23" xfId="55" applyFont="1" applyFill="1" applyBorder="1" applyAlignment="1">
      <alignment horizontal="center" vertical="center"/>
    </xf>
    <xf numFmtId="14" fontId="49" fillId="0" borderId="11" xfId="117" applyNumberFormat="1" applyFont="1" applyFill="1" applyBorder="1" applyAlignment="1">
      <alignment horizontal="center" vertical="center"/>
    </xf>
    <xf numFmtId="14" fontId="49" fillId="0" borderId="23" xfId="117" applyNumberFormat="1" applyFont="1" applyFill="1" applyBorder="1" applyAlignment="1">
      <alignment horizontal="center" vertical="center"/>
    </xf>
    <xf numFmtId="0" fontId="49" fillId="0" borderId="11" xfId="72" applyNumberFormat="1" applyFont="1" applyFill="1" applyBorder="1" applyAlignment="1">
      <alignment horizontal="center" vertical="center"/>
    </xf>
    <xf numFmtId="0" fontId="49" fillId="0" borderId="23" xfId="72" applyNumberFormat="1" applyFont="1" applyFill="1" applyBorder="1" applyAlignment="1">
      <alignment horizontal="center" vertical="center"/>
    </xf>
    <xf numFmtId="164" fontId="49" fillId="0" borderId="11" xfId="58" applyFont="1" applyFill="1" applyBorder="1" applyAlignment="1">
      <alignment horizontal="center" vertical="center"/>
    </xf>
    <xf numFmtId="164" fontId="49" fillId="0" borderId="23" xfId="58" applyFont="1" applyFill="1" applyBorder="1" applyAlignment="1">
      <alignment horizontal="center" vertical="center"/>
    </xf>
    <xf numFmtId="164" fontId="63" fillId="0" borderId="11" xfId="55" applyFont="1" applyFill="1" applyBorder="1" applyAlignment="1">
      <alignment horizontal="center" vertical="center" wrapText="1"/>
    </xf>
    <xf numFmtId="164" fontId="63" fillId="0" borderId="23" xfId="55" applyFont="1" applyFill="1" applyBorder="1" applyAlignment="1">
      <alignment horizontal="center" vertical="center" wrapText="1"/>
    </xf>
    <xf numFmtId="164" fontId="63" fillId="0" borderId="11" xfId="129" applyFont="1" applyFill="1" applyBorder="1" applyAlignment="1">
      <alignment horizontal="center" vertical="center"/>
    </xf>
    <xf numFmtId="164" fontId="63" fillId="0" borderId="23" xfId="129" applyFont="1" applyFill="1" applyBorder="1" applyAlignment="1">
      <alignment horizontal="center" vertical="center"/>
    </xf>
    <xf numFmtId="0" fontId="49" fillId="0" borderId="11" xfId="130" applyNumberFormat="1" applyFont="1" applyFill="1" applyBorder="1" applyAlignment="1">
      <alignment horizontal="center" vertical="center"/>
    </xf>
    <xf numFmtId="0" fontId="49" fillId="0" borderId="23" xfId="130" applyNumberFormat="1" applyFont="1" applyFill="1" applyBorder="1" applyAlignment="1">
      <alignment horizontal="center" vertical="center"/>
    </xf>
    <xf numFmtId="164" fontId="63" fillId="0" borderId="11" xfId="129" applyFont="1" applyFill="1" applyBorder="1" applyAlignment="1">
      <alignment horizontal="center" vertical="center" wrapText="1"/>
    </xf>
    <xf numFmtId="164" fontId="63" fillId="0" borderId="23" xfId="129" applyFont="1" applyFill="1" applyBorder="1" applyAlignment="1">
      <alignment horizontal="center" vertical="center" wrapText="1"/>
    </xf>
  </cellXfs>
  <cellStyles count="132">
    <cellStyle name="20% - Accent1 2" xfId="1"/>
    <cellStyle name="20% - Accent1 3" xfId="2"/>
    <cellStyle name="20% - Accent2 2" xfId="3"/>
    <cellStyle name="20% - Accent2 3" xfId="4"/>
    <cellStyle name="20% - Accent3 2" xfId="5"/>
    <cellStyle name="20% - Accent3 3" xfId="6"/>
    <cellStyle name="20% - Accent4 2" xfId="7"/>
    <cellStyle name="20% - Accent4 3" xfId="8"/>
    <cellStyle name="20% - Accent5 2" xfId="9"/>
    <cellStyle name="20% - Accent5 3" xfId="10"/>
    <cellStyle name="20% - Accent6 2" xfId="11"/>
    <cellStyle name="20% - Accent6 3" xfId="12"/>
    <cellStyle name="40% - Accent1 2" xfId="13"/>
    <cellStyle name="40% - Accent1 3" xfId="14"/>
    <cellStyle name="40% - Accent2 2" xfId="15"/>
    <cellStyle name="40% - Accent2 3" xfId="16"/>
    <cellStyle name="40% - Accent3 2" xfId="17"/>
    <cellStyle name="40% - Accent3 3" xfId="18"/>
    <cellStyle name="40% - Accent4 2" xfId="19"/>
    <cellStyle name="40% - Accent4 3" xfId="20"/>
    <cellStyle name="40% - Accent5 2" xfId="21"/>
    <cellStyle name="40% - Accent5 3" xfId="22"/>
    <cellStyle name="40% - Accent6 2" xfId="23"/>
    <cellStyle name="40% - Accent6 3" xfId="24"/>
    <cellStyle name="60% - Accent1 2" xfId="25"/>
    <cellStyle name="60% - Accent1 3" xfId="26"/>
    <cellStyle name="60% - Accent2 2" xfId="27"/>
    <cellStyle name="60% - Accent2 3" xfId="28"/>
    <cellStyle name="60% - Accent3 2" xfId="29"/>
    <cellStyle name="60% - Accent3 3" xfId="30"/>
    <cellStyle name="60% - Accent4 2" xfId="31"/>
    <cellStyle name="60% - Accent4 3" xfId="32"/>
    <cellStyle name="60% - Accent5 2" xfId="33"/>
    <cellStyle name="60% - Accent5 3" xfId="34"/>
    <cellStyle name="60% - Accent6 2" xfId="35"/>
    <cellStyle name="60% - Accent6 3" xfId="36"/>
    <cellStyle name="Accent1 2" xfId="37"/>
    <cellStyle name="Accent1 3" xfId="38"/>
    <cellStyle name="Accent2 2" xfId="39"/>
    <cellStyle name="Accent2 3" xfId="40"/>
    <cellStyle name="Accent3 2" xfId="41"/>
    <cellStyle name="Accent3 3" xfId="42"/>
    <cellStyle name="Accent4 2" xfId="43"/>
    <cellStyle name="Accent4 3" xfId="44"/>
    <cellStyle name="Accent5 2" xfId="45"/>
    <cellStyle name="Accent5 3" xfId="46"/>
    <cellStyle name="Accent6 2" xfId="47"/>
    <cellStyle name="Accent6 3" xfId="48"/>
    <cellStyle name="Bad 2" xfId="49"/>
    <cellStyle name="Bad 3" xfId="50"/>
    <cellStyle name="Calculation 2" xfId="51"/>
    <cellStyle name="Calculation 3" xfId="52"/>
    <cellStyle name="Check Cell 2" xfId="53"/>
    <cellStyle name="Check Cell 3" xfId="54"/>
    <cellStyle name="Comma 10" xfId="55"/>
    <cellStyle name="Comma 10 2" xfId="129"/>
    <cellStyle name="Comma 2" xfId="56"/>
    <cellStyle name="Comma 2 2" xfId="57"/>
    <cellStyle name="Comma 2 2 2" xfId="58"/>
    <cellStyle name="Comma 2 3" xfId="59"/>
    <cellStyle name="Comma 3" xfId="60"/>
    <cellStyle name="Comma 3 2" xfId="61"/>
    <cellStyle name="Comma 4" xfId="62"/>
    <cellStyle name="Comma 5" xfId="63"/>
    <cellStyle name="Comma 5 2" xfId="64"/>
    <cellStyle name="Comma 6" xfId="65"/>
    <cellStyle name="Comma 7" xfId="66"/>
    <cellStyle name="Comma 7 2" xfId="67"/>
    <cellStyle name="Comma 7 2 2" xfId="68"/>
    <cellStyle name="Comma 7 3" xfId="69"/>
    <cellStyle name="Comma 8" xfId="70"/>
    <cellStyle name="Comma 8 2" xfId="71"/>
    <cellStyle name="Comma 8 3 46" xfId="72"/>
    <cellStyle name="Comma 8 3 46 2" xfId="130"/>
    <cellStyle name="Comma 8 4" xfId="73"/>
    <cellStyle name="Comma 9" xfId="74"/>
    <cellStyle name="Explanatory Text 2" xfId="75"/>
    <cellStyle name="Explanatory Text 3" xfId="76"/>
    <cellStyle name="Good 2" xfId="77"/>
    <cellStyle name="Good 3" xfId="78"/>
    <cellStyle name="Heading 1 2" xfId="79"/>
    <cellStyle name="Heading 1 3" xfId="80"/>
    <cellStyle name="Heading 2 2" xfId="81"/>
    <cellStyle name="Heading 2 3" xfId="82"/>
    <cellStyle name="Heading 3 2" xfId="83"/>
    <cellStyle name="Heading 3 3" xfId="84"/>
    <cellStyle name="Heading 4 2" xfId="85"/>
    <cellStyle name="Heading 4 3" xfId="86"/>
    <cellStyle name="Input 2" xfId="87"/>
    <cellStyle name="Input 3" xfId="88"/>
    <cellStyle name="Linked Cell 2" xfId="89"/>
    <cellStyle name="Linked Cell 3" xfId="90"/>
    <cellStyle name="Neutral 2" xfId="91"/>
    <cellStyle name="Neutral 3" xfId="92"/>
    <cellStyle name="Normal" xfId="0" builtinId="0"/>
    <cellStyle name="Normal 10" xfId="93"/>
    <cellStyle name="Normal 12 2" xfId="94"/>
    <cellStyle name="Normal 2" xfId="95"/>
    <cellStyle name="Normal 2 2" xfId="96"/>
    <cellStyle name="Normal 2 3" xfId="128"/>
    <cellStyle name="Normal 23 2" xfId="97"/>
    <cellStyle name="Normal 3" xfId="98"/>
    <cellStyle name="Normal 3 2" xfId="99"/>
    <cellStyle name="Normal 4" xfId="100"/>
    <cellStyle name="Normal 4 2" xfId="101"/>
    <cellStyle name="Normal 5" xfId="102"/>
    <cellStyle name="Normal 6" xfId="103"/>
    <cellStyle name="Normal 7" xfId="104"/>
    <cellStyle name="Normal 7 2" xfId="105"/>
    <cellStyle name="Normal 7 2 2" xfId="106"/>
    <cellStyle name="Normal 7 2 3" xfId="107"/>
    <cellStyle name="Normal 7 3" xfId="108"/>
    <cellStyle name="Normal 7 6" xfId="109"/>
    <cellStyle name="Normal 7 7" xfId="110"/>
    <cellStyle name="Normal 8" xfId="111"/>
    <cellStyle name="Normal 8 2" xfId="112"/>
    <cellStyle name="Normal 8 3 46" xfId="113"/>
    <cellStyle name="Normal 8 3 46 2" xfId="131"/>
    <cellStyle name="Normal 8 4" xfId="114"/>
    <cellStyle name="Normal 9" xfId="115"/>
    <cellStyle name="Normal 9 3" xfId="116"/>
    <cellStyle name="Normal_Sheet1" xfId="117"/>
    <cellStyle name="Note 2" xfId="118"/>
    <cellStyle name="Note 3" xfId="119"/>
    <cellStyle name="Output 2" xfId="120"/>
    <cellStyle name="Output 3" xfId="121"/>
    <cellStyle name="Title 2" xfId="122"/>
    <cellStyle name="Title 3" xfId="123"/>
    <cellStyle name="Total 2" xfId="124"/>
    <cellStyle name="Total 3" xfId="125"/>
    <cellStyle name="Warning Text 2" xfId="126"/>
    <cellStyle name="Warning Text 3" xfId="12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  <pageSetUpPr fitToPage="1"/>
  </sheetPr>
  <dimension ref="A1:J21"/>
  <sheetViews>
    <sheetView workbookViewId="0">
      <selection activeCell="C3" sqref="C3"/>
    </sheetView>
  </sheetViews>
  <sheetFormatPr defaultRowHeight="18" customHeight="1" x14ac:dyDescent="0.2"/>
  <cols>
    <col min="1" max="1" width="15" customWidth="1"/>
    <col min="2" max="2" width="11.28515625" customWidth="1"/>
    <col min="3" max="3" width="29.85546875" customWidth="1"/>
    <col min="4" max="4" width="11.5703125" customWidth="1"/>
    <col min="5" max="5" width="11.28515625" customWidth="1"/>
    <col min="6" max="6" width="10.5703125" customWidth="1"/>
    <col min="7" max="7" width="13.140625" customWidth="1"/>
    <col min="8" max="8" width="10.42578125" customWidth="1"/>
    <col min="9" max="9" width="12" customWidth="1"/>
    <col min="10" max="10" width="9.7109375" bestFit="1" customWidth="1"/>
  </cols>
  <sheetData>
    <row r="1" spans="1:10" ht="22.5" customHeight="1" x14ac:dyDescent="0.2">
      <c r="A1" s="45"/>
      <c r="B1" s="46"/>
      <c r="C1" s="46"/>
      <c r="D1" s="46"/>
      <c r="E1" s="46"/>
      <c r="F1" s="46"/>
      <c r="G1" s="46"/>
      <c r="H1" s="46"/>
      <c r="I1" s="47"/>
      <c r="J1" s="3"/>
    </row>
    <row r="2" spans="1:10" ht="22.5" customHeight="1" x14ac:dyDescent="0.3">
      <c r="A2" s="192" t="s">
        <v>9</v>
      </c>
      <c r="B2" s="193"/>
      <c r="C2" s="193"/>
      <c r="D2" s="193"/>
      <c r="E2" s="193"/>
      <c r="F2" s="193"/>
      <c r="G2" s="193"/>
      <c r="H2" s="193"/>
      <c r="I2" s="194"/>
      <c r="J2" s="3"/>
    </row>
    <row r="3" spans="1:10" ht="22.5" customHeight="1" x14ac:dyDescent="0.25">
      <c r="A3" s="48" t="s">
        <v>24</v>
      </c>
      <c r="B3" s="4"/>
      <c r="C3" s="62" t="s">
        <v>56</v>
      </c>
      <c r="D3" s="4"/>
      <c r="E3" s="4"/>
      <c r="F3" s="4"/>
      <c r="G3" s="4"/>
      <c r="H3" s="4"/>
      <c r="I3" s="49"/>
      <c r="J3" s="3"/>
    </row>
    <row r="4" spans="1:10" ht="9.9499999999999993" customHeight="1" x14ac:dyDescent="0.25">
      <c r="A4" s="50"/>
      <c r="B4" s="4"/>
      <c r="C4" s="4"/>
      <c r="D4" s="4"/>
      <c r="E4" s="4"/>
      <c r="F4" s="4"/>
      <c r="G4" s="4"/>
      <c r="H4" s="4"/>
      <c r="I4" s="49"/>
      <c r="J4" s="6"/>
    </row>
    <row r="5" spans="1:10" s="1" customFormat="1" ht="22.5" customHeight="1" x14ac:dyDescent="0.25">
      <c r="A5" s="15" t="s">
        <v>0</v>
      </c>
      <c r="B5" s="15" t="s">
        <v>1</v>
      </c>
      <c r="C5" s="40" t="s">
        <v>21</v>
      </c>
      <c r="D5" s="41" t="s">
        <v>6</v>
      </c>
      <c r="E5" s="15" t="s">
        <v>2</v>
      </c>
      <c r="F5" s="15" t="s">
        <v>3</v>
      </c>
      <c r="G5" s="15" t="s">
        <v>4</v>
      </c>
      <c r="H5" s="15" t="s">
        <v>5</v>
      </c>
      <c r="I5" s="15" t="s">
        <v>8</v>
      </c>
    </row>
    <row r="6" spans="1:10" s="7" customFormat="1" ht="22.5" customHeight="1" x14ac:dyDescent="0.25">
      <c r="A6" s="51"/>
      <c r="B6" s="18"/>
      <c r="C6" s="42"/>
      <c r="D6" s="43"/>
      <c r="E6" s="11"/>
      <c r="F6" s="12">
        <v>0</v>
      </c>
      <c r="G6" s="13">
        <v>0</v>
      </c>
      <c r="H6" s="12">
        <v>0</v>
      </c>
      <c r="I6" s="12">
        <v>0</v>
      </c>
      <c r="J6" s="2"/>
    </row>
    <row r="7" spans="1:10" s="2" customFormat="1" ht="22.5" customHeight="1" x14ac:dyDescent="0.25">
      <c r="A7" s="51"/>
      <c r="B7" s="18"/>
      <c r="C7" s="9"/>
      <c r="D7" s="10"/>
      <c r="E7" s="11"/>
      <c r="F7" s="12">
        <v>0</v>
      </c>
      <c r="G7" s="13">
        <v>0</v>
      </c>
      <c r="H7" s="12">
        <v>0</v>
      </c>
      <c r="I7" s="12">
        <v>0</v>
      </c>
    </row>
    <row r="8" spans="1:10" s="2" customFormat="1" ht="22.5" customHeight="1" x14ac:dyDescent="0.25">
      <c r="A8" s="51"/>
      <c r="B8" s="18"/>
      <c r="C8" s="9"/>
      <c r="D8" s="10"/>
      <c r="E8" s="11"/>
      <c r="F8" s="12">
        <v>0</v>
      </c>
      <c r="G8" s="13">
        <v>0</v>
      </c>
      <c r="H8" s="12">
        <v>0</v>
      </c>
      <c r="I8" s="12">
        <v>0</v>
      </c>
      <c r="J8" s="8"/>
    </row>
    <row r="9" spans="1:10" s="2" customFormat="1" ht="22.5" customHeight="1" x14ac:dyDescent="0.25">
      <c r="A9" s="9"/>
      <c r="B9" s="19"/>
      <c r="C9" s="42"/>
      <c r="D9" s="10"/>
      <c r="E9" s="11"/>
      <c r="F9" s="12">
        <v>0</v>
      </c>
      <c r="G9" s="13">
        <v>0</v>
      </c>
      <c r="H9" s="12">
        <v>0</v>
      </c>
      <c r="I9" s="12">
        <v>0</v>
      </c>
      <c r="J9" s="8"/>
    </row>
    <row r="10" spans="1:10" s="2" customFormat="1" ht="22.5" customHeight="1" x14ac:dyDescent="0.25">
      <c r="A10" s="9"/>
      <c r="B10" s="18"/>
      <c r="C10" s="9"/>
      <c r="D10" s="10"/>
      <c r="E10" s="11"/>
      <c r="F10" s="12">
        <v>0</v>
      </c>
      <c r="G10" s="13">
        <v>0</v>
      </c>
      <c r="H10" s="12">
        <v>0</v>
      </c>
      <c r="I10" s="12">
        <v>0</v>
      </c>
      <c r="J10" s="8"/>
    </row>
    <row r="11" spans="1:10" s="2" customFormat="1" ht="22.5" customHeight="1" x14ac:dyDescent="0.25">
      <c r="A11" s="9"/>
      <c r="B11" s="18"/>
      <c r="C11" s="44"/>
      <c r="D11" s="10"/>
      <c r="E11" s="11"/>
      <c r="F11" s="12">
        <v>0</v>
      </c>
      <c r="G11" s="13">
        <v>0</v>
      </c>
      <c r="H11" s="12">
        <v>0</v>
      </c>
      <c r="I11" s="12">
        <v>0</v>
      </c>
      <c r="J11" s="8"/>
    </row>
    <row r="12" spans="1:10" s="2" customFormat="1" ht="22.5" customHeight="1" x14ac:dyDescent="0.25">
      <c r="A12" s="9"/>
      <c r="B12" s="18"/>
      <c r="C12" s="44"/>
      <c r="D12" s="10"/>
      <c r="E12" s="11"/>
      <c r="F12" s="12">
        <v>0</v>
      </c>
      <c r="G12" s="13">
        <v>0</v>
      </c>
      <c r="H12" s="12">
        <v>0</v>
      </c>
      <c r="I12" s="12">
        <v>0</v>
      </c>
      <c r="J12" s="8"/>
    </row>
    <row r="13" spans="1:10" s="2" customFormat="1" ht="22.5" customHeight="1" x14ac:dyDescent="0.25">
      <c r="A13" s="9"/>
      <c r="B13" s="9"/>
      <c r="C13" s="9"/>
      <c r="D13" s="10"/>
      <c r="E13" s="11"/>
      <c r="F13" s="12">
        <v>0</v>
      </c>
      <c r="G13" s="13">
        <v>0</v>
      </c>
      <c r="H13" s="12">
        <v>0</v>
      </c>
      <c r="I13" s="12">
        <v>0</v>
      </c>
      <c r="J13" s="8"/>
    </row>
    <row r="14" spans="1:10" s="2" customFormat="1" ht="22.5" customHeight="1" x14ac:dyDescent="0.25">
      <c r="A14" s="9"/>
      <c r="B14" s="9"/>
      <c r="C14" s="9"/>
      <c r="D14" s="10"/>
      <c r="E14" s="11"/>
      <c r="F14" s="12">
        <v>0</v>
      </c>
      <c r="G14" s="13">
        <v>0</v>
      </c>
      <c r="H14" s="12">
        <v>0</v>
      </c>
      <c r="I14" s="12">
        <v>0</v>
      </c>
      <c r="J14" s="8"/>
    </row>
    <row r="15" spans="1:10" s="2" customFormat="1" ht="22.5" customHeight="1" x14ac:dyDescent="0.25">
      <c r="A15" s="9"/>
      <c r="B15" s="9"/>
      <c r="C15" s="9"/>
      <c r="D15" s="10"/>
      <c r="E15" s="11"/>
      <c r="F15" s="12">
        <v>0</v>
      </c>
      <c r="G15" s="13">
        <v>0</v>
      </c>
      <c r="H15" s="12">
        <v>0</v>
      </c>
      <c r="I15" s="12">
        <v>0</v>
      </c>
      <c r="J15" s="8"/>
    </row>
    <row r="16" spans="1:10" ht="22.5" customHeight="1" thickBot="1" x14ac:dyDescent="0.3">
      <c r="A16" s="52" t="s">
        <v>7</v>
      </c>
      <c r="B16" s="14"/>
      <c r="C16" s="14"/>
      <c r="D16" s="14"/>
      <c r="E16" s="14"/>
      <c r="F16" s="14"/>
      <c r="G16" s="61">
        <f>SUM(G6:G15)</f>
        <v>0</v>
      </c>
      <c r="H16" s="14"/>
      <c r="I16" s="53"/>
      <c r="J16" s="3"/>
    </row>
    <row r="17" spans="1:10" ht="22.5" customHeight="1" thickTop="1" x14ac:dyDescent="0.25">
      <c r="A17" s="54"/>
      <c r="B17" s="5"/>
      <c r="C17" s="138" t="s">
        <v>48</v>
      </c>
      <c r="D17" s="62" t="s">
        <v>49</v>
      </c>
      <c r="E17" s="5"/>
      <c r="F17" s="5"/>
      <c r="G17" s="5"/>
      <c r="H17" s="5"/>
      <c r="I17" s="55"/>
      <c r="J17" s="3"/>
    </row>
    <row r="18" spans="1:10" ht="22.5" customHeight="1" x14ac:dyDescent="0.25">
      <c r="A18" s="54"/>
      <c r="B18" s="5"/>
      <c r="C18" s="5"/>
      <c r="E18" s="5"/>
      <c r="F18" s="14"/>
      <c r="G18" s="62"/>
      <c r="H18" s="78"/>
      <c r="I18" s="57"/>
      <c r="J18" s="3"/>
    </row>
    <row r="19" spans="1:10" x14ac:dyDescent="0.25">
      <c r="A19" s="54"/>
      <c r="C19" s="138" t="s">
        <v>47</v>
      </c>
      <c r="D19" s="62"/>
      <c r="E19" s="5"/>
      <c r="F19" s="14"/>
      <c r="G19" s="62" t="s">
        <v>23</v>
      </c>
      <c r="H19" s="78"/>
      <c r="I19" s="57"/>
      <c r="J19" s="3"/>
    </row>
    <row r="20" spans="1:10" ht="18" customHeight="1" x14ac:dyDescent="0.25">
      <c r="A20" s="56" t="s">
        <v>22</v>
      </c>
      <c r="B20" s="5"/>
      <c r="C20" s="5"/>
      <c r="D20" s="5"/>
      <c r="E20" s="5"/>
      <c r="F20" s="5"/>
      <c r="G20" s="5"/>
      <c r="H20" s="5"/>
      <c r="I20" s="55"/>
    </row>
    <row r="21" spans="1:10" ht="18" customHeight="1" x14ac:dyDescent="0.2">
      <c r="A21" s="58"/>
      <c r="B21" s="59"/>
      <c r="C21" s="59"/>
      <c r="D21" s="59"/>
      <c r="E21" s="59"/>
      <c r="F21" s="59"/>
      <c r="G21" s="59"/>
      <c r="H21" s="59"/>
      <c r="I21" s="60"/>
    </row>
  </sheetData>
  <mergeCells count="1">
    <mergeCell ref="A2:I2"/>
  </mergeCells>
  <printOptions horizontalCentered="1"/>
  <pageMargins left="0.25" right="0.25" top="0.75" bottom="0.75" header="0.3" footer="0.3"/>
  <pageSetup paperSize="9" orientation="landscape" verticalDpi="300" r:id="rId1"/>
  <headerFooter alignWithMargins="0">
    <oddHeader xml:space="preserve">&amp;C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  <pageSetUpPr fitToPage="1"/>
  </sheetPr>
  <dimension ref="A1:J21"/>
  <sheetViews>
    <sheetView workbookViewId="0">
      <selection activeCell="H10" sqref="H10"/>
    </sheetView>
  </sheetViews>
  <sheetFormatPr defaultRowHeight="18" customHeight="1" x14ac:dyDescent="0.2"/>
  <cols>
    <col min="1" max="1" width="15" customWidth="1"/>
    <col min="2" max="2" width="11.28515625" customWidth="1"/>
    <col min="3" max="3" width="29.85546875" customWidth="1"/>
    <col min="4" max="4" width="11.5703125" customWidth="1"/>
    <col min="5" max="5" width="11.28515625" customWidth="1"/>
    <col min="6" max="6" width="10.5703125" customWidth="1"/>
    <col min="7" max="7" width="13.140625" customWidth="1"/>
    <col min="8" max="8" width="10.42578125" customWidth="1"/>
    <col min="9" max="9" width="12" customWidth="1"/>
    <col min="10" max="10" width="9.7109375" bestFit="1" customWidth="1"/>
  </cols>
  <sheetData>
    <row r="1" spans="1:10" ht="22.5" customHeight="1" x14ac:dyDescent="0.2">
      <c r="A1" s="45"/>
      <c r="B1" s="46"/>
      <c r="C1" s="46"/>
      <c r="D1" s="46"/>
      <c r="E1" s="46"/>
      <c r="F1" s="46"/>
      <c r="G1" s="46"/>
      <c r="H1" s="46"/>
      <c r="I1" s="47"/>
      <c r="J1" s="3"/>
    </row>
    <row r="2" spans="1:10" ht="22.5" customHeight="1" x14ac:dyDescent="0.3">
      <c r="A2" s="192" t="s">
        <v>9</v>
      </c>
      <c r="B2" s="193"/>
      <c r="C2" s="193"/>
      <c r="D2" s="193"/>
      <c r="E2" s="193"/>
      <c r="F2" s="193"/>
      <c r="G2" s="193"/>
      <c r="H2" s="193"/>
      <c r="I2" s="194"/>
      <c r="J2" s="3"/>
    </row>
    <row r="3" spans="1:10" ht="22.5" customHeight="1" x14ac:dyDescent="0.25">
      <c r="A3" s="48" t="s">
        <v>19</v>
      </c>
      <c r="B3" s="4"/>
      <c r="C3" s="14" t="s">
        <v>29</v>
      </c>
      <c r="D3" s="4"/>
      <c r="E3" s="4" t="s">
        <v>20</v>
      </c>
      <c r="F3" s="4"/>
      <c r="G3" s="4"/>
      <c r="H3" s="4"/>
      <c r="I3" s="49"/>
      <c r="J3" s="3"/>
    </row>
    <row r="4" spans="1:10" ht="9.9499999999999993" customHeight="1" x14ac:dyDescent="0.25">
      <c r="A4" s="50"/>
      <c r="B4" s="4"/>
      <c r="C4" s="4"/>
      <c r="D4" s="4"/>
      <c r="E4" s="4"/>
      <c r="F4" s="4"/>
      <c r="G4" s="4"/>
      <c r="H4" s="4"/>
      <c r="I4" s="49"/>
      <c r="J4" s="6"/>
    </row>
    <row r="5" spans="1:10" s="1" customFormat="1" ht="22.5" customHeight="1" x14ac:dyDescent="0.25">
      <c r="A5" s="15" t="s">
        <v>0</v>
      </c>
      <c r="B5" s="15" t="s">
        <v>1</v>
      </c>
      <c r="C5" s="40" t="s">
        <v>21</v>
      </c>
      <c r="D5" s="41" t="s">
        <v>6</v>
      </c>
      <c r="E5" s="15" t="s">
        <v>2</v>
      </c>
      <c r="F5" s="15" t="s">
        <v>3</v>
      </c>
      <c r="G5" s="15" t="s">
        <v>4</v>
      </c>
      <c r="H5" s="15" t="s">
        <v>5</v>
      </c>
      <c r="I5" s="15" t="s">
        <v>8</v>
      </c>
    </row>
    <row r="6" spans="1:10" s="7" customFormat="1" ht="22.5" customHeight="1" x14ac:dyDescent="0.25">
      <c r="A6" s="51"/>
      <c r="B6" s="18"/>
      <c r="C6" s="42"/>
      <c r="D6" s="43"/>
      <c r="E6" s="11"/>
      <c r="F6" s="12">
        <v>0</v>
      </c>
      <c r="G6" s="13">
        <v>0</v>
      </c>
      <c r="H6" s="12">
        <v>0</v>
      </c>
      <c r="I6" s="12">
        <v>0</v>
      </c>
      <c r="J6" s="2"/>
    </row>
    <row r="7" spans="1:10" s="2" customFormat="1" ht="22.5" customHeight="1" x14ac:dyDescent="0.25">
      <c r="A7" s="51"/>
      <c r="B7" s="18"/>
      <c r="C7" s="9"/>
      <c r="D7" s="10"/>
      <c r="E7" s="11"/>
      <c r="F7" s="12">
        <v>0</v>
      </c>
      <c r="G7" s="13">
        <v>0</v>
      </c>
      <c r="H7" s="12">
        <v>0</v>
      </c>
      <c r="I7" s="12">
        <v>0</v>
      </c>
    </row>
    <row r="8" spans="1:10" s="2" customFormat="1" ht="22.5" customHeight="1" x14ac:dyDescent="0.25">
      <c r="A8" s="51"/>
      <c r="B8" s="18"/>
      <c r="C8" s="9"/>
      <c r="D8" s="10"/>
      <c r="E8" s="11"/>
      <c r="F8" s="12">
        <v>0</v>
      </c>
      <c r="G8" s="13">
        <v>0</v>
      </c>
      <c r="H8" s="12">
        <v>0</v>
      </c>
      <c r="I8" s="12">
        <v>0</v>
      </c>
      <c r="J8" s="8"/>
    </row>
    <row r="9" spans="1:10" s="2" customFormat="1" ht="22.5" customHeight="1" x14ac:dyDescent="0.25">
      <c r="A9" s="9"/>
      <c r="B9" s="19"/>
      <c r="C9" s="42"/>
      <c r="D9" s="10"/>
      <c r="E9" s="11"/>
      <c r="F9" s="12">
        <v>0</v>
      </c>
      <c r="G9" s="13">
        <v>0</v>
      </c>
      <c r="H9" s="12">
        <v>0</v>
      </c>
      <c r="I9" s="12">
        <v>0</v>
      </c>
      <c r="J9" s="8"/>
    </row>
    <row r="10" spans="1:10" s="2" customFormat="1" ht="22.5" customHeight="1" x14ac:dyDescent="0.25">
      <c r="A10" s="9"/>
      <c r="B10" s="18"/>
      <c r="C10" s="9"/>
      <c r="D10" s="10"/>
      <c r="E10" s="11"/>
      <c r="F10" s="12">
        <v>0</v>
      </c>
      <c r="G10" s="13">
        <v>0</v>
      </c>
      <c r="H10" s="12">
        <v>0</v>
      </c>
      <c r="I10" s="12">
        <v>0</v>
      </c>
      <c r="J10" s="8"/>
    </row>
    <row r="11" spans="1:10" s="2" customFormat="1" ht="22.5" customHeight="1" x14ac:dyDescent="0.25">
      <c r="A11" s="9"/>
      <c r="B11" s="18"/>
      <c r="C11" s="44"/>
      <c r="D11" s="10"/>
      <c r="E11" s="11"/>
      <c r="F11" s="12">
        <v>0</v>
      </c>
      <c r="G11" s="13">
        <v>0</v>
      </c>
      <c r="H11" s="12">
        <v>0</v>
      </c>
      <c r="I11" s="12">
        <v>0</v>
      </c>
      <c r="J11" s="8"/>
    </row>
    <row r="12" spans="1:10" s="2" customFormat="1" ht="22.5" customHeight="1" x14ac:dyDescent="0.25">
      <c r="A12" s="9"/>
      <c r="B12" s="18"/>
      <c r="C12" s="44"/>
      <c r="D12" s="10"/>
      <c r="E12" s="11"/>
      <c r="F12" s="12">
        <v>0</v>
      </c>
      <c r="G12" s="13">
        <v>0</v>
      </c>
      <c r="H12" s="12">
        <v>0</v>
      </c>
      <c r="I12" s="12">
        <v>0</v>
      </c>
      <c r="J12" s="8"/>
    </row>
    <row r="13" spans="1:10" s="2" customFormat="1" ht="22.5" customHeight="1" x14ac:dyDescent="0.25">
      <c r="A13" s="9"/>
      <c r="B13" s="9"/>
      <c r="C13" s="9"/>
      <c r="D13" s="10"/>
      <c r="E13" s="11"/>
      <c r="F13" s="12">
        <v>0</v>
      </c>
      <c r="G13" s="13">
        <v>0</v>
      </c>
      <c r="H13" s="12">
        <v>0</v>
      </c>
      <c r="I13" s="12">
        <v>0</v>
      </c>
      <c r="J13" s="8"/>
    </row>
    <row r="14" spans="1:10" s="2" customFormat="1" ht="22.5" customHeight="1" x14ac:dyDescent="0.25">
      <c r="A14" s="9"/>
      <c r="B14" s="9"/>
      <c r="C14" s="9"/>
      <c r="D14" s="10"/>
      <c r="E14" s="11"/>
      <c r="F14" s="12">
        <v>0</v>
      </c>
      <c r="G14" s="13">
        <v>0</v>
      </c>
      <c r="H14" s="12">
        <v>0</v>
      </c>
      <c r="I14" s="12">
        <v>0</v>
      </c>
      <c r="J14" s="8"/>
    </row>
    <row r="15" spans="1:10" s="2" customFormat="1" ht="22.5" customHeight="1" x14ac:dyDescent="0.25">
      <c r="A15" s="9"/>
      <c r="B15" s="9"/>
      <c r="C15" s="9"/>
      <c r="D15" s="10"/>
      <c r="E15" s="11"/>
      <c r="F15" s="12">
        <v>0</v>
      </c>
      <c r="G15" s="13">
        <v>0</v>
      </c>
      <c r="H15" s="12">
        <v>0</v>
      </c>
      <c r="I15" s="12">
        <v>0</v>
      </c>
      <c r="J15" s="8"/>
    </row>
    <row r="16" spans="1:10" ht="22.5" customHeight="1" thickBot="1" x14ac:dyDescent="0.3">
      <c r="A16" s="52" t="s">
        <v>7</v>
      </c>
      <c r="B16" s="14"/>
      <c r="C16" s="14"/>
      <c r="D16" s="14"/>
      <c r="E16" s="14"/>
      <c r="F16" s="14"/>
      <c r="G16" s="61">
        <f>SUM(G6:G15)</f>
        <v>0</v>
      </c>
      <c r="H16" s="14"/>
      <c r="I16" s="53"/>
      <c r="J16" s="3"/>
    </row>
    <row r="17" spans="1:10" ht="22.5" customHeight="1" thickTop="1" x14ac:dyDescent="0.25">
      <c r="A17" s="54"/>
      <c r="B17" s="5"/>
      <c r="C17" s="138" t="s">
        <v>48</v>
      </c>
      <c r="D17" s="62" t="s">
        <v>49</v>
      </c>
      <c r="E17" s="5"/>
      <c r="F17" s="5"/>
      <c r="G17" s="5"/>
      <c r="H17" s="5"/>
      <c r="I17" s="55"/>
      <c r="J17" s="3"/>
    </row>
    <row r="18" spans="1:10" ht="22.5" customHeight="1" x14ac:dyDescent="0.25">
      <c r="A18" s="54"/>
      <c r="B18" s="5"/>
      <c r="C18" s="5"/>
      <c r="D18" s="14"/>
      <c r="E18" s="5"/>
      <c r="F18" s="14"/>
      <c r="G18" s="62"/>
      <c r="H18" s="63"/>
      <c r="I18" s="57"/>
      <c r="J18" s="3"/>
    </row>
    <row r="19" spans="1:10" x14ac:dyDescent="0.25">
      <c r="A19" s="54"/>
      <c r="B19" s="5"/>
      <c r="C19" s="138" t="s">
        <v>47</v>
      </c>
      <c r="D19" s="139"/>
      <c r="E19" s="62"/>
      <c r="F19" s="14"/>
      <c r="G19" s="62" t="s">
        <v>23</v>
      </c>
      <c r="H19" s="63"/>
      <c r="I19" s="57"/>
      <c r="J19" s="3"/>
    </row>
    <row r="20" spans="1:10" ht="18" customHeight="1" x14ac:dyDescent="0.25">
      <c r="A20" s="56" t="s">
        <v>22</v>
      </c>
      <c r="B20" s="5"/>
      <c r="C20" s="5"/>
      <c r="D20" s="5"/>
      <c r="E20" s="5"/>
      <c r="F20" s="5"/>
      <c r="G20" s="5"/>
      <c r="H20" s="5"/>
      <c r="I20" s="55"/>
    </row>
    <row r="21" spans="1:10" ht="18" customHeight="1" x14ac:dyDescent="0.2">
      <c r="A21" s="58"/>
      <c r="B21" s="59"/>
      <c r="C21" s="59"/>
      <c r="D21" s="59"/>
      <c r="E21" s="59"/>
      <c r="F21" s="59"/>
      <c r="G21" s="59"/>
      <c r="H21" s="59"/>
      <c r="I21" s="60"/>
    </row>
  </sheetData>
  <mergeCells count="1">
    <mergeCell ref="A2:I2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verticalDpi="300" r:id="rId1"/>
  <headerFooter alignWithMargins="0">
    <oddHeader xml:space="preserve">&amp;C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F0"/>
  </sheetPr>
  <dimension ref="A1:P60"/>
  <sheetViews>
    <sheetView view="pageLayout" topLeftCell="A34" workbookViewId="0">
      <selection activeCell="B20" sqref="B20"/>
    </sheetView>
  </sheetViews>
  <sheetFormatPr defaultColWidth="9" defaultRowHeight="12.75" x14ac:dyDescent="0.2"/>
  <cols>
    <col min="1" max="3" width="9.7109375" customWidth="1"/>
    <col min="4" max="4" width="10" customWidth="1"/>
    <col min="5" max="5" width="11.28515625" customWidth="1"/>
    <col min="6" max="6" width="5.28515625" customWidth="1"/>
    <col min="7" max="7" width="2" customWidth="1"/>
    <col min="8" max="8" width="8.140625" customWidth="1"/>
    <col min="9" max="9" width="4.7109375" customWidth="1"/>
    <col min="10" max="10" width="5" customWidth="1"/>
    <col min="11" max="11" width="4.140625" bestFit="1" customWidth="1"/>
    <col min="12" max="12" width="5.140625" customWidth="1"/>
    <col min="13" max="13" width="5" customWidth="1"/>
    <col min="14" max="14" width="2" customWidth="1"/>
    <col min="15" max="15" width="8.140625" customWidth="1"/>
  </cols>
  <sheetData>
    <row r="1" spans="1:15" ht="6.75" customHeight="1" x14ac:dyDescent="0.25">
      <c r="A1" s="80"/>
      <c r="B1" s="80"/>
      <c r="C1" s="80"/>
      <c r="D1" s="81"/>
      <c r="E1" s="80"/>
      <c r="F1" s="80"/>
      <c r="G1" s="80"/>
      <c r="H1" s="80"/>
      <c r="I1" s="80"/>
      <c r="K1" s="195"/>
      <c r="L1" s="195"/>
      <c r="M1" s="195"/>
      <c r="N1" s="195"/>
      <c r="O1" s="195"/>
    </row>
    <row r="2" spans="1:15" ht="12.75" customHeight="1" x14ac:dyDescent="0.35">
      <c r="A2" s="80"/>
      <c r="B2" s="80"/>
      <c r="C2" s="82"/>
      <c r="D2" s="81"/>
      <c r="E2" s="80"/>
      <c r="F2" s="80"/>
      <c r="G2" s="80"/>
      <c r="H2" s="80"/>
      <c r="I2" s="80"/>
      <c r="J2" s="83"/>
      <c r="K2" s="195"/>
      <c r="L2" s="195"/>
      <c r="M2" s="195"/>
      <c r="N2" s="195"/>
      <c r="O2" s="195"/>
    </row>
    <row r="3" spans="1:15" ht="18.600000000000001" customHeight="1" x14ac:dyDescent="0.3">
      <c r="A3" s="80"/>
      <c r="B3" s="80"/>
      <c r="C3" s="82"/>
      <c r="D3" s="81"/>
      <c r="E3" s="80"/>
      <c r="F3" s="80"/>
      <c r="G3" s="80"/>
      <c r="H3" s="80"/>
      <c r="I3" s="80"/>
      <c r="J3" s="80"/>
      <c r="K3" s="196"/>
      <c r="L3" s="196"/>
      <c r="M3" s="196"/>
      <c r="N3" s="84"/>
      <c r="O3" s="80"/>
    </row>
    <row r="4" spans="1:15" ht="12.75" customHeight="1" x14ac:dyDescent="0.3">
      <c r="A4" s="80"/>
      <c r="B4" s="80"/>
      <c r="C4" s="82"/>
      <c r="D4" s="81"/>
      <c r="E4" s="80"/>
      <c r="F4" s="80"/>
      <c r="G4" s="126"/>
      <c r="H4" s="80"/>
      <c r="I4" s="80"/>
      <c r="J4" s="80"/>
      <c r="K4" s="196"/>
      <c r="L4" s="196"/>
      <c r="M4" s="196"/>
      <c r="N4" s="84"/>
      <c r="O4" s="80"/>
    </row>
    <row r="5" spans="1:15" ht="4.5" customHeight="1" x14ac:dyDescent="0.25">
      <c r="A5" s="80"/>
      <c r="B5" s="80"/>
      <c r="C5" s="80"/>
      <c r="D5" s="80"/>
      <c r="E5" s="80"/>
      <c r="F5" s="80"/>
      <c r="G5" s="126"/>
      <c r="H5" s="80"/>
      <c r="I5" s="80"/>
      <c r="J5" s="80"/>
      <c r="K5" s="80"/>
      <c r="L5" s="80"/>
      <c r="M5" s="80"/>
      <c r="N5" s="80"/>
      <c r="O5" s="80"/>
    </row>
    <row r="6" spans="1:15" ht="3.95" customHeight="1" x14ac:dyDescent="0.25">
      <c r="A6" s="122"/>
      <c r="B6" s="80"/>
      <c r="C6" s="80"/>
      <c r="D6" s="80"/>
      <c r="E6" s="80"/>
      <c r="F6" s="80"/>
      <c r="G6" s="80"/>
      <c r="H6" s="80"/>
      <c r="I6" s="80"/>
      <c r="J6" s="197"/>
      <c r="K6" s="197"/>
      <c r="L6" s="197"/>
      <c r="M6" s="197"/>
      <c r="N6" s="197"/>
      <c r="O6" s="197"/>
    </row>
    <row r="7" spans="1:15" ht="13.5" customHeight="1" x14ac:dyDescent="0.25">
      <c r="A7" s="119"/>
      <c r="B7" s="80"/>
      <c r="C7" s="80"/>
      <c r="D7" s="80"/>
      <c r="E7" s="80"/>
      <c r="F7" s="117"/>
      <c r="G7" s="80"/>
      <c r="H7" s="80"/>
      <c r="I7" s="85"/>
      <c r="J7" s="197"/>
      <c r="K7" s="197"/>
      <c r="L7" s="197"/>
      <c r="M7" s="197"/>
      <c r="N7" s="197"/>
      <c r="O7" s="197"/>
    </row>
    <row r="8" spans="1:15" ht="3.95" customHeight="1" x14ac:dyDescent="0.2">
      <c r="A8" s="120"/>
      <c r="B8" s="80"/>
      <c r="C8" s="80"/>
      <c r="D8" s="80"/>
      <c r="E8" s="80"/>
      <c r="F8" s="80"/>
      <c r="G8" s="80"/>
      <c r="H8" s="80"/>
      <c r="I8" s="80"/>
      <c r="J8" s="87"/>
      <c r="K8" s="80"/>
      <c r="L8" s="88"/>
      <c r="M8" s="88"/>
      <c r="N8" s="88"/>
      <c r="O8" s="80"/>
    </row>
    <row r="9" spans="1:15" ht="13.5" x14ac:dyDescent="0.25">
      <c r="A9" s="119"/>
      <c r="B9" s="112"/>
      <c r="C9" s="112"/>
      <c r="D9" s="80"/>
      <c r="E9" s="80"/>
      <c r="F9" s="80"/>
      <c r="G9" s="80"/>
      <c r="H9" s="80"/>
      <c r="I9" s="85"/>
      <c r="J9" s="85"/>
      <c r="K9" s="80"/>
      <c r="L9" s="88"/>
      <c r="M9" s="198"/>
      <c r="N9" s="198"/>
      <c r="O9" s="198"/>
    </row>
    <row r="10" spans="1:15" ht="3.95" customHeight="1" x14ac:dyDescent="0.25">
      <c r="A10" s="119"/>
      <c r="B10" s="80"/>
      <c r="C10" s="80"/>
      <c r="D10" s="80"/>
      <c r="E10" s="80"/>
      <c r="F10" s="80"/>
      <c r="G10" s="80"/>
      <c r="H10" s="80"/>
      <c r="I10" s="80"/>
      <c r="J10" s="87"/>
      <c r="K10" s="80"/>
      <c r="L10" s="88"/>
      <c r="M10" s="198"/>
      <c r="N10" s="198"/>
      <c r="O10" s="198"/>
    </row>
    <row r="11" spans="1:15" ht="16.350000000000001" customHeight="1" x14ac:dyDescent="0.25">
      <c r="A11" s="119"/>
      <c r="B11" s="80"/>
      <c r="C11" s="80"/>
      <c r="D11" s="80"/>
      <c r="E11" s="80"/>
      <c r="F11" s="80"/>
      <c r="G11" s="80"/>
      <c r="H11" s="80"/>
      <c r="I11" s="85"/>
      <c r="J11" s="85"/>
      <c r="K11" s="80"/>
      <c r="L11" s="86"/>
      <c r="M11" s="198"/>
      <c r="N11" s="198"/>
      <c r="O11" s="198"/>
    </row>
    <row r="12" spans="1:15" ht="3.95" customHeight="1" x14ac:dyDescent="0.2">
      <c r="A12" s="120"/>
      <c r="B12" s="80"/>
      <c r="C12" s="80"/>
      <c r="D12" s="80"/>
      <c r="E12" s="80"/>
      <c r="F12" s="80"/>
      <c r="G12" s="80"/>
      <c r="H12" s="80"/>
      <c r="I12" s="80"/>
      <c r="J12" s="87"/>
      <c r="K12" s="80"/>
      <c r="L12" s="88"/>
      <c r="M12" s="198"/>
      <c r="N12" s="198"/>
      <c r="O12" s="198"/>
    </row>
    <row r="13" spans="1:15" ht="13.5" x14ac:dyDescent="0.25">
      <c r="A13" s="119"/>
      <c r="B13" s="135"/>
      <c r="C13" s="135"/>
      <c r="D13" s="135"/>
      <c r="E13" s="135"/>
      <c r="F13" s="135"/>
      <c r="G13" s="135"/>
      <c r="H13" s="135"/>
      <c r="I13" s="85"/>
      <c r="J13" s="85"/>
      <c r="K13" s="80"/>
      <c r="L13" s="86"/>
      <c r="M13" s="198"/>
      <c r="N13" s="198"/>
      <c r="O13" s="198"/>
    </row>
    <row r="14" spans="1:15" s="89" customFormat="1" ht="3.95" customHeight="1" x14ac:dyDescent="0.2">
      <c r="A14" s="123"/>
      <c r="B14" s="124"/>
      <c r="C14" s="124"/>
      <c r="D14" s="124"/>
      <c r="E14" s="124"/>
      <c r="F14" s="124"/>
      <c r="G14" s="124"/>
      <c r="H14" s="124"/>
      <c r="I14" s="124"/>
      <c r="J14" s="123"/>
      <c r="K14" s="123"/>
      <c r="L14" s="123"/>
      <c r="M14" s="198"/>
      <c r="N14" s="198"/>
      <c r="O14" s="198"/>
    </row>
    <row r="15" spans="1:15" ht="8.1" customHeight="1" x14ac:dyDescent="0.2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</row>
    <row r="16" spans="1:15" ht="13.5" x14ac:dyDescent="0.25">
      <c r="A16" s="199"/>
      <c r="B16" s="199"/>
      <c r="C16" s="199"/>
      <c r="D16" s="199"/>
      <c r="E16" s="121"/>
      <c r="F16" s="199"/>
      <c r="G16" s="199"/>
      <c r="H16" s="199"/>
      <c r="I16" s="199"/>
      <c r="J16" s="199"/>
      <c r="K16" s="199"/>
      <c r="L16" s="199"/>
      <c r="M16" s="199"/>
      <c r="N16" s="199"/>
      <c r="O16" s="199"/>
    </row>
    <row r="17" spans="1:15" ht="29.1" customHeight="1" x14ac:dyDescent="0.25">
      <c r="A17" s="110"/>
      <c r="B17" s="110"/>
      <c r="C17" s="110"/>
      <c r="D17" s="129" t="s">
        <v>50</v>
      </c>
      <c r="E17" s="129" t="s">
        <v>30</v>
      </c>
      <c r="F17" s="80"/>
      <c r="G17" s="80"/>
      <c r="H17" s="80"/>
      <c r="I17" s="80"/>
      <c r="J17" s="80"/>
      <c r="K17" s="80"/>
      <c r="L17" s="80"/>
      <c r="M17" s="80"/>
      <c r="N17" s="80"/>
      <c r="O17" s="80"/>
    </row>
    <row r="18" spans="1:15" ht="13.5" x14ac:dyDescent="0.25">
      <c r="A18" s="130"/>
      <c r="B18" s="130"/>
      <c r="C18" s="111"/>
      <c r="D18" s="144">
        <v>500</v>
      </c>
      <c r="E18" s="145">
        <v>0</v>
      </c>
      <c r="F18" s="80"/>
      <c r="G18" s="80"/>
      <c r="H18" s="80"/>
      <c r="I18" s="80"/>
      <c r="J18" s="80"/>
      <c r="K18" s="80"/>
      <c r="L18" s="80"/>
      <c r="M18" s="80"/>
      <c r="N18" s="80"/>
      <c r="O18" s="80"/>
    </row>
    <row r="19" spans="1:15" ht="13.5" x14ac:dyDescent="0.25">
      <c r="A19" s="112"/>
      <c r="B19" s="131" t="s">
        <v>57</v>
      </c>
      <c r="C19" s="113"/>
      <c r="D19" s="146"/>
      <c r="E19" s="146"/>
      <c r="F19" s="80"/>
      <c r="G19" s="80"/>
      <c r="H19" s="80"/>
      <c r="I19" s="80"/>
      <c r="J19" s="80"/>
      <c r="K19" s="80"/>
      <c r="L19" s="80"/>
      <c r="M19" s="80"/>
      <c r="N19" s="80"/>
      <c r="O19" s="80"/>
    </row>
    <row r="20" spans="1:15" ht="13.5" x14ac:dyDescent="0.25">
      <c r="A20" s="130"/>
      <c r="B20" s="136"/>
      <c r="C20" s="136"/>
      <c r="D20" s="147"/>
      <c r="E20" s="145"/>
      <c r="F20" s="80"/>
      <c r="G20" s="80"/>
      <c r="H20" s="80"/>
      <c r="I20" s="80"/>
      <c r="J20" s="80"/>
      <c r="K20" s="80"/>
      <c r="L20" s="80"/>
      <c r="M20" s="80"/>
      <c r="N20" s="80"/>
      <c r="O20" s="80"/>
    </row>
    <row r="21" spans="1:15" x14ac:dyDescent="0.2">
      <c r="A21" s="136"/>
      <c r="B21" s="136"/>
      <c r="C21" s="136"/>
      <c r="D21" s="136"/>
      <c r="E21" s="136"/>
      <c r="F21" s="80"/>
      <c r="G21" s="80"/>
      <c r="H21" s="80"/>
      <c r="I21" s="80"/>
      <c r="J21" s="80"/>
      <c r="K21" s="80"/>
      <c r="L21" s="80"/>
      <c r="M21" s="80"/>
      <c r="N21" s="80"/>
      <c r="O21" s="80"/>
    </row>
    <row r="22" spans="1:15" ht="13.5" x14ac:dyDescent="0.25">
      <c r="A22" s="130"/>
      <c r="B22" s="136"/>
      <c r="C22" s="136"/>
      <c r="D22" s="147"/>
      <c r="E22" s="145"/>
      <c r="F22" s="80"/>
      <c r="G22" s="80"/>
      <c r="H22" s="80"/>
      <c r="I22" s="80"/>
      <c r="J22" s="80"/>
      <c r="K22" s="80"/>
      <c r="L22" s="80"/>
      <c r="M22" s="80"/>
      <c r="N22" s="80"/>
      <c r="O22" s="80"/>
    </row>
    <row r="23" spans="1:15" x14ac:dyDescent="0.2">
      <c r="A23" s="136"/>
      <c r="B23" s="136"/>
      <c r="C23" s="136"/>
      <c r="D23" s="136"/>
      <c r="E23" s="136"/>
      <c r="F23" s="80"/>
      <c r="G23" s="80"/>
      <c r="H23" s="80"/>
      <c r="I23" s="80"/>
      <c r="J23" s="80"/>
      <c r="K23" s="80"/>
      <c r="L23" s="80"/>
      <c r="M23" s="80"/>
      <c r="N23" s="80"/>
      <c r="O23" s="80"/>
    </row>
    <row r="24" spans="1:15" ht="13.5" x14ac:dyDescent="0.25">
      <c r="A24" s="130"/>
      <c r="B24" s="136"/>
      <c r="C24" s="136"/>
      <c r="D24" s="147"/>
      <c r="E24" s="145"/>
      <c r="F24" s="80"/>
      <c r="G24" s="80"/>
      <c r="H24" s="80"/>
      <c r="I24" s="80"/>
      <c r="J24" s="80"/>
      <c r="K24" s="80"/>
      <c r="L24" s="80"/>
      <c r="M24" s="80"/>
      <c r="N24" s="80"/>
      <c r="O24" s="80"/>
    </row>
    <row r="25" spans="1:15" x14ac:dyDescent="0.2">
      <c r="A25" s="136"/>
      <c r="B25" s="136"/>
      <c r="C25" s="136"/>
      <c r="D25" s="136"/>
      <c r="E25" s="136"/>
      <c r="F25" s="80"/>
      <c r="G25" s="80"/>
      <c r="H25" s="80"/>
      <c r="I25" s="80"/>
      <c r="J25" s="80"/>
      <c r="K25" s="80"/>
      <c r="L25" s="80"/>
      <c r="M25" s="80"/>
      <c r="N25" s="80"/>
      <c r="O25" s="80"/>
    </row>
    <row r="26" spans="1:15" ht="12.75" customHeight="1" x14ac:dyDescent="0.25">
      <c r="A26" s="130"/>
      <c r="B26" s="136"/>
      <c r="C26" s="136"/>
      <c r="D26" s="147"/>
      <c r="E26" s="145"/>
      <c r="F26" s="80"/>
      <c r="G26" s="80"/>
      <c r="H26" s="80"/>
      <c r="I26" s="80"/>
      <c r="J26" s="80"/>
      <c r="K26" s="80"/>
      <c r="L26" s="80"/>
      <c r="M26" s="80"/>
      <c r="N26" s="80"/>
      <c r="O26" s="80"/>
    </row>
    <row r="27" spans="1:15" ht="12.75" customHeight="1" x14ac:dyDescent="0.2">
      <c r="A27" s="137"/>
      <c r="B27" s="137"/>
      <c r="C27" s="137"/>
      <c r="D27" s="137"/>
      <c r="E27" s="137"/>
      <c r="F27" s="80"/>
      <c r="G27" s="80"/>
      <c r="J27" s="80"/>
      <c r="K27" s="80"/>
      <c r="L27" s="80"/>
      <c r="M27" s="80"/>
      <c r="N27" s="80"/>
      <c r="O27" s="80"/>
    </row>
    <row r="28" spans="1:15" ht="12.75" customHeight="1" x14ac:dyDescent="0.25">
      <c r="A28" s="130"/>
      <c r="B28" s="136"/>
      <c r="C28" s="136"/>
      <c r="D28" s="147"/>
      <c r="E28" s="145"/>
      <c r="F28" s="80"/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7.25" customHeight="1" x14ac:dyDescent="0.25">
      <c r="A29" s="80"/>
      <c r="B29" s="80"/>
      <c r="C29" s="80"/>
      <c r="D29" s="80"/>
      <c r="E29" s="80"/>
      <c r="F29" s="80"/>
      <c r="G29" s="80"/>
      <c r="H29" s="90"/>
      <c r="I29" s="90"/>
      <c r="J29" s="90"/>
      <c r="K29" s="90"/>
      <c r="L29" s="90"/>
      <c r="M29" s="90"/>
      <c r="N29" s="90"/>
      <c r="O29" s="90"/>
    </row>
    <row r="30" spans="1:15" ht="4.5" customHeight="1" x14ac:dyDescent="0.25">
      <c r="A30" s="80"/>
      <c r="B30" s="80"/>
      <c r="C30" s="80"/>
      <c r="D30" s="80"/>
      <c r="E30" s="80"/>
      <c r="F30" s="80"/>
      <c r="G30" s="80"/>
      <c r="H30" s="90"/>
      <c r="I30" s="90"/>
      <c r="J30" s="90"/>
      <c r="K30" s="90"/>
      <c r="L30" s="90"/>
      <c r="M30" s="90"/>
      <c r="N30" s="90"/>
      <c r="O30" s="90"/>
    </row>
    <row r="31" spans="1:15" ht="8.4499999999999993" customHeight="1" x14ac:dyDescent="0.2">
      <c r="A31" s="200"/>
      <c r="B31" s="200"/>
      <c r="C31" s="200"/>
      <c r="D31" s="200"/>
      <c r="E31" s="91"/>
      <c r="F31" s="91"/>
      <c r="G31" s="140"/>
      <c r="H31" s="140">
        <f>SUM(D18:D28)/1.12</f>
        <v>446.42857142857139</v>
      </c>
      <c r="I31" s="92"/>
      <c r="J31" s="92"/>
      <c r="K31" s="93"/>
      <c r="L31" s="93"/>
      <c r="M31" s="93"/>
      <c r="O31" s="140">
        <f>SUM(D18:D28)</f>
        <v>500</v>
      </c>
    </row>
    <row r="32" spans="1:15" ht="6.75" customHeight="1" x14ac:dyDescent="0.2">
      <c r="A32" s="200"/>
      <c r="B32" s="200"/>
      <c r="C32" s="200"/>
      <c r="D32" s="200"/>
      <c r="E32" s="91"/>
      <c r="F32" s="91"/>
      <c r="G32" s="142"/>
      <c r="H32" s="142"/>
      <c r="I32" s="92"/>
      <c r="J32" s="92"/>
      <c r="K32" s="93"/>
      <c r="L32" s="93"/>
      <c r="M32" s="93"/>
      <c r="N32" s="142"/>
      <c r="O32" s="142"/>
    </row>
    <row r="33" spans="1:15" ht="8.4499999999999993" customHeight="1" x14ac:dyDescent="0.25">
      <c r="A33" s="94"/>
      <c r="B33" s="94"/>
      <c r="C33" s="94"/>
      <c r="D33" s="94"/>
      <c r="E33" s="91"/>
      <c r="F33" s="91"/>
      <c r="G33" s="140"/>
      <c r="H33" s="140">
        <v>0</v>
      </c>
      <c r="I33" s="92"/>
      <c r="J33" s="92"/>
      <c r="K33" s="93"/>
      <c r="L33" s="93"/>
      <c r="M33" s="93"/>
      <c r="N33" s="140"/>
      <c r="O33" s="140">
        <f>H37</f>
        <v>53.571428571428562</v>
      </c>
    </row>
    <row r="34" spans="1:15" ht="6.75" customHeight="1" x14ac:dyDescent="0.25">
      <c r="A34" s="94"/>
      <c r="B34" s="94"/>
      <c r="C34" s="94"/>
      <c r="D34" s="94"/>
      <c r="E34" s="91"/>
      <c r="F34" s="91"/>
      <c r="G34" s="109"/>
      <c r="H34" s="142"/>
      <c r="I34" s="92"/>
      <c r="J34" s="92"/>
      <c r="K34" s="93"/>
      <c r="L34" s="93"/>
      <c r="M34" s="93"/>
      <c r="N34" s="142"/>
      <c r="O34" s="142"/>
    </row>
    <row r="35" spans="1:15" ht="8.4499999999999993" customHeight="1" x14ac:dyDescent="0.2">
      <c r="A35" s="201" t="s">
        <v>34</v>
      </c>
      <c r="B35" s="201"/>
      <c r="C35" s="140">
        <v>0</v>
      </c>
      <c r="D35" s="95"/>
      <c r="E35" s="91"/>
      <c r="F35" s="91"/>
      <c r="G35" s="140"/>
      <c r="H35" s="140">
        <v>0</v>
      </c>
      <c r="I35" s="92"/>
      <c r="J35" s="92"/>
      <c r="K35" s="93"/>
      <c r="L35" s="93"/>
      <c r="M35" s="93"/>
      <c r="N35" s="140"/>
      <c r="O35" s="140">
        <f>H31</f>
        <v>446.42857142857139</v>
      </c>
    </row>
    <row r="36" spans="1:15" ht="6.75" customHeight="1" x14ac:dyDescent="0.2">
      <c r="A36" s="132"/>
      <c r="C36" s="141"/>
      <c r="D36" s="95"/>
      <c r="E36" s="91"/>
      <c r="F36" s="91"/>
      <c r="G36" s="142"/>
      <c r="H36" s="142"/>
      <c r="I36" s="92"/>
      <c r="J36" s="92"/>
      <c r="K36" s="92"/>
      <c r="L36" s="93"/>
      <c r="M36" s="93"/>
      <c r="N36" s="142"/>
      <c r="O36" s="142"/>
    </row>
    <row r="37" spans="1:15" ht="8.4499999999999993" customHeight="1" x14ac:dyDescent="0.2">
      <c r="A37" s="201" t="s">
        <v>33</v>
      </c>
      <c r="B37" s="201"/>
      <c r="C37" s="140">
        <v>0</v>
      </c>
      <c r="D37" s="125"/>
      <c r="E37" s="91"/>
      <c r="F37" s="91"/>
      <c r="G37" s="143"/>
      <c r="H37" s="143">
        <f>H31*0.12</f>
        <v>53.571428571428562</v>
      </c>
      <c r="I37" s="92"/>
      <c r="J37" s="96"/>
      <c r="K37" s="92"/>
      <c r="L37" s="93"/>
      <c r="M37" s="93"/>
      <c r="N37" s="140"/>
      <c r="O37" s="140">
        <f>IF(E18=0,0,ROUND(O35*0.2,2))</f>
        <v>0</v>
      </c>
    </row>
    <row r="38" spans="1:15" ht="6.75" customHeight="1" x14ac:dyDescent="0.2">
      <c r="A38" s="134"/>
      <c r="C38" s="134"/>
      <c r="D38" s="125"/>
      <c r="E38" s="91"/>
      <c r="F38" s="91"/>
      <c r="G38" s="108"/>
      <c r="H38" s="107"/>
      <c r="I38" s="92"/>
      <c r="J38" s="92"/>
      <c r="K38" s="92"/>
      <c r="L38" s="93"/>
      <c r="M38" s="93"/>
      <c r="N38" s="142"/>
      <c r="O38" s="142"/>
    </row>
    <row r="39" spans="1:15" ht="8.4499999999999993" customHeight="1" x14ac:dyDescent="0.2">
      <c r="A39" s="201" t="s">
        <v>32</v>
      </c>
      <c r="B39" s="201"/>
      <c r="C39" s="140">
        <v>0</v>
      </c>
      <c r="D39" s="95"/>
      <c r="E39" s="91"/>
      <c r="F39" s="91"/>
      <c r="G39" s="108"/>
      <c r="H39" s="109"/>
      <c r="I39" s="97"/>
      <c r="J39" s="92"/>
      <c r="K39" s="98"/>
      <c r="L39" s="98"/>
      <c r="M39" s="92"/>
      <c r="N39" s="140"/>
      <c r="O39" s="140">
        <f>IF(E18=0,D18,E18)+IF(E20=0,D20,E20)+IF(E22=0,D22,E22)+IF(E24=0,D24,E24)+IF(E26=0,D26,E26)+IF(E28=0,D28,E28)</f>
        <v>500</v>
      </c>
    </row>
    <row r="40" spans="1:15" ht="6.75" customHeight="1" x14ac:dyDescent="0.2">
      <c r="A40" s="133"/>
      <c r="C40" s="141"/>
      <c r="D40" s="95"/>
      <c r="E40" s="91"/>
      <c r="F40" s="91"/>
      <c r="G40" s="108"/>
      <c r="H40" s="109"/>
      <c r="I40" s="92"/>
      <c r="J40" s="92"/>
      <c r="K40" s="92"/>
      <c r="L40" s="92"/>
      <c r="M40" s="92"/>
      <c r="N40" s="142"/>
      <c r="O40" s="142"/>
    </row>
    <row r="41" spans="1:15" ht="8.4499999999999993" customHeight="1" x14ac:dyDescent="0.2">
      <c r="A41" s="201" t="s">
        <v>43</v>
      </c>
      <c r="B41" s="201"/>
      <c r="C41" s="140">
        <f>D18</f>
        <v>500</v>
      </c>
      <c r="D41" s="95"/>
      <c r="E41" s="91"/>
      <c r="F41" s="91"/>
      <c r="G41" s="108"/>
      <c r="H41" s="107"/>
      <c r="I41" s="92"/>
      <c r="J41" s="92"/>
      <c r="K41" s="92"/>
      <c r="L41" s="92"/>
      <c r="M41" s="92"/>
      <c r="N41" s="140"/>
      <c r="O41" s="140">
        <v>0</v>
      </c>
    </row>
    <row r="42" spans="1:15" ht="6.75" customHeight="1" x14ac:dyDescent="0.2">
      <c r="A42" s="134"/>
      <c r="C42" s="134"/>
      <c r="D42" s="95"/>
      <c r="E42" s="91"/>
      <c r="F42" s="91"/>
      <c r="G42" s="108"/>
      <c r="H42" s="107"/>
      <c r="I42" s="92"/>
      <c r="J42" s="92"/>
      <c r="K42" s="92"/>
      <c r="L42" s="92"/>
      <c r="M42" s="92"/>
      <c r="N42" s="142"/>
      <c r="O42" s="142"/>
    </row>
    <row r="43" spans="1:15" ht="8.4499999999999993" customHeight="1" x14ac:dyDescent="0.2">
      <c r="A43" s="201" t="s">
        <v>44</v>
      </c>
      <c r="B43" s="201"/>
      <c r="C43" s="140">
        <f>C41-O43</f>
        <v>0</v>
      </c>
      <c r="D43" s="95"/>
      <c r="E43" s="91"/>
      <c r="F43" s="91"/>
      <c r="G43" s="108"/>
      <c r="H43" s="107"/>
      <c r="I43" s="92"/>
      <c r="J43" s="92"/>
      <c r="K43" s="92"/>
      <c r="L43" s="92"/>
      <c r="M43" s="92"/>
      <c r="N43" s="140"/>
      <c r="O43" s="140">
        <f>O39-O41</f>
        <v>500</v>
      </c>
    </row>
    <row r="44" spans="1:15" ht="6.95" customHeight="1" x14ac:dyDescent="0.2">
      <c r="A44" s="95"/>
      <c r="B44" s="95"/>
      <c r="C44" s="95"/>
      <c r="D44" s="95"/>
      <c r="E44" s="91"/>
      <c r="F44" s="91"/>
      <c r="G44" s="108"/>
      <c r="H44" s="107"/>
      <c r="I44" s="92"/>
      <c r="J44" s="92"/>
      <c r="K44" s="92"/>
      <c r="L44" s="92"/>
      <c r="M44" s="92"/>
      <c r="N44" s="97"/>
      <c r="O44" s="97"/>
    </row>
    <row r="45" spans="1:15" ht="15.2" customHeight="1" x14ac:dyDescent="0.25">
      <c r="A45" s="99"/>
      <c r="B45" s="99"/>
      <c r="C45" s="99"/>
      <c r="D45" s="99"/>
      <c r="E45" s="94"/>
      <c r="F45" s="94"/>
      <c r="G45" s="94"/>
      <c r="H45" s="100"/>
      <c r="I45" s="100"/>
      <c r="J45" s="100"/>
      <c r="K45" s="100"/>
      <c r="L45" s="100"/>
      <c r="M45" s="101"/>
      <c r="N45" s="101"/>
      <c r="O45" s="101"/>
    </row>
    <row r="46" spans="1:15" ht="6.95" customHeight="1" x14ac:dyDescent="0.25">
      <c r="A46" s="99"/>
      <c r="B46" s="99"/>
      <c r="C46" s="99"/>
      <c r="D46" s="99"/>
      <c r="E46" s="99"/>
      <c r="F46" s="99"/>
      <c r="G46" s="99"/>
      <c r="I46" s="202"/>
      <c r="J46" s="202"/>
      <c r="K46" s="202"/>
      <c r="L46" s="202"/>
      <c r="M46" s="202"/>
      <c r="N46" s="202"/>
    </row>
    <row r="47" spans="1:15" ht="6.95" customHeight="1" x14ac:dyDescent="0.25">
      <c r="A47" s="99"/>
      <c r="B47" s="99"/>
      <c r="C47" s="99"/>
      <c r="D47" s="99"/>
      <c r="E47" s="99"/>
      <c r="F47" s="99"/>
      <c r="G47" s="99"/>
      <c r="I47" s="202"/>
      <c r="J47" s="202"/>
      <c r="K47" s="202"/>
      <c r="L47" s="202"/>
      <c r="M47" s="202"/>
      <c r="N47" s="202"/>
    </row>
    <row r="48" spans="1:15" ht="6.95" customHeight="1" x14ac:dyDescent="0.2">
      <c r="B48" s="102"/>
      <c r="C48" s="102"/>
      <c r="D48" s="102"/>
      <c r="E48" s="102"/>
      <c r="F48" s="102"/>
      <c r="G48" s="102"/>
      <c r="H48" s="203"/>
      <c r="I48" s="203"/>
      <c r="J48" s="203"/>
      <c r="K48" s="203"/>
      <c r="L48" s="203"/>
      <c r="M48" s="203"/>
      <c r="N48" s="203"/>
      <c r="O48" s="203"/>
    </row>
    <row r="49" spans="1:16" ht="6.95" customHeight="1" x14ac:dyDescent="0.2">
      <c r="B49" s="102"/>
      <c r="C49" s="102"/>
      <c r="D49" s="102"/>
      <c r="E49" s="102"/>
      <c r="F49" s="102"/>
      <c r="G49" s="102"/>
      <c r="H49" s="203"/>
      <c r="I49" s="203"/>
      <c r="J49" s="203"/>
      <c r="K49" s="203"/>
      <c r="L49" s="203"/>
      <c r="M49" s="203"/>
      <c r="N49" s="203"/>
      <c r="O49" s="203"/>
    </row>
    <row r="50" spans="1:16" ht="6.95" customHeight="1" x14ac:dyDescent="0.2">
      <c r="B50" s="102"/>
      <c r="C50" s="102"/>
      <c r="D50" s="102"/>
      <c r="E50" s="102"/>
      <c r="F50" s="102"/>
      <c r="G50" s="102"/>
      <c r="H50" s="204"/>
      <c r="I50" s="204"/>
      <c r="J50" s="204"/>
      <c r="K50" s="204"/>
      <c r="L50" s="204"/>
      <c r="M50" s="204"/>
      <c r="N50" s="204"/>
      <c r="O50" s="204"/>
    </row>
    <row r="51" spans="1:16" ht="6.95" customHeight="1" x14ac:dyDescent="0.2">
      <c r="B51" s="102"/>
      <c r="C51" s="102"/>
      <c r="D51" s="102"/>
      <c r="E51" s="102"/>
      <c r="F51" s="102"/>
      <c r="G51" s="102"/>
      <c r="H51" s="204"/>
      <c r="I51" s="204"/>
      <c r="J51" s="204"/>
      <c r="K51" s="204"/>
      <c r="L51" s="204"/>
      <c r="M51" s="204"/>
      <c r="N51" s="204"/>
      <c r="O51" s="204"/>
    </row>
    <row r="52" spans="1:16" ht="6.95" customHeight="1" x14ac:dyDescent="0.2">
      <c r="B52" s="102"/>
      <c r="C52" s="102"/>
      <c r="D52" s="102"/>
      <c r="E52" s="102"/>
      <c r="F52" s="102"/>
      <c r="G52" s="102"/>
    </row>
    <row r="53" spans="1:16" ht="6.95" customHeight="1" x14ac:dyDescent="0.2">
      <c r="B53" s="102"/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102"/>
    </row>
    <row r="54" spans="1:16" ht="6.95" customHeight="1" x14ac:dyDescent="0.2">
      <c r="A54" s="80"/>
      <c r="B54" s="102"/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102"/>
    </row>
    <row r="55" spans="1:16" ht="6.95" customHeight="1" x14ac:dyDescent="0.2">
      <c r="A55" s="80"/>
      <c r="B55" s="103"/>
      <c r="C55" s="103"/>
      <c r="D55" s="103"/>
      <c r="E55" s="103"/>
      <c r="F55" s="103"/>
      <c r="G55" s="103"/>
      <c r="H55" s="80"/>
      <c r="I55" s="80"/>
      <c r="J55" s="80"/>
      <c r="K55" s="80"/>
      <c r="L55" s="80"/>
      <c r="M55" s="80"/>
      <c r="N55" s="80"/>
      <c r="O55" s="80"/>
    </row>
    <row r="56" spans="1:16" x14ac:dyDescent="0.2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</row>
    <row r="57" spans="1:16" x14ac:dyDescent="0.2">
      <c r="A57" s="104"/>
      <c r="B57" s="105"/>
      <c r="C57" s="105"/>
      <c r="D57" s="105"/>
      <c r="E57" s="105"/>
      <c r="F57" s="105"/>
      <c r="G57" s="105"/>
    </row>
    <row r="58" spans="1:16" x14ac:dyDescent="0.2">
      <c r="A58" s="105"/>
      <c r="B58" s="105"/>
      <c r="C58" s="105"/>
      <c r="D58" s="105"/>
      <c r="E58" s="105"/>
      <c r="F58" s="105"/>
      <c r="G58" s="105"/>
    </row>
    <row r="59" spans="1:16" x14ac:dyDescent="0.2">
      <c r="I59" s="80"/>
    </row>
    <row r="60" spans="1:16" x14ac:dyDescent="0.2">
      <c r="I60" s="106"/>
      <c r="P60" s="106"/>
    </row>
  </sheetData>
  <mergeCells count="18">
    <mergeCell ref="A35:B35"/>
    <mergeCell ref="A37:B37"/>
    <mergeCell ref="I46:N47"/>
    <mergeCell ref="H48:O49"/>
    <mergeCell ref="H50:O51"/>
    <mergeCell ref="A39:B39"/>
    <mergeCell ref="A41:B41"/>
    <mergeCell ref="A43:B43"/>
    <mergeCell ref="M9:O14"/>
    <mergeCell ref="A16:D16"/>
    <mergeCell ref="F16:M16"/>
    <mergeCell ref="N16:O16"/>
    <mergeCell ref="A31:D32"/>
    <mergeCell ref="K1:O2"/>
    <mergeCell ref="K3:K4"/>
    <mergeCell ref="L3:L4"/>
    <mergeCell ref="M3:M4"/>
    <mergeCell ref="J6:O7"/>
  </mergeCells>
  <printOptions horizontalCentered="1"/>
  <pageMargins left="0" right="0" top="0.23622047244094491" bottom="0.23622047244094491" header="0.31496062992125984" footer="0.31496062992125984"/>
  <pageSetup paperSize="5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  <pageSetUpPr fitToPage="1"/>
  </sheetPr>
  <dimension ref="A1:IK34"/>
  <sheetViews>
    <sheetView workbookViewId="0">
      <pane xSplit="5" topLeftCell="F1" activePane="topRight" state="frozen"/>
      <selection pane="topRight" activeCell="A11" sqref="A11"/>
    </sheetView>
  </sheetViews>
  <sheetFormatPr defaultRowHeight="12.75" x14ac:dyDescent="0.2"/>
  <cols>
    <col min="1" max="1" width="15.140625" style="37" customWidth="1"/>
    <col min="2" max="2" width="10.5703125" style="37" bestFit="1" customWidth="1"/>
    <col min="3" max="3" width="24.28515625" style="37" bestFit="1" customWidth="1"/>
    <col min="4" max="4" width="18.28515625" style="37" bestFit="1" customWidth="1"/>
    <col min="5" max="5" width="10.42578125" style="37" bestFit="1" customWidth="1"/>
    <col min="6" max="6" width="10.85546875" style="38" bestFit="1" customWidth="1"/>
    <col min="7" max="7" width="8.7109375" style="38" bestFit="1" customWidth="1"/>
    <col min="8" max="8" width="12.140625" style="38" bestFit="1" customWidth="1"/>
    <col min="9" max="9" width="7.5703125" style="38" bestFit="1" customWidth="1"/>
    <col min="10" max="10" width="11.7109375" style="38" customWidth="1"/>
    <col min="11" max="11" width="11.5703125" style="38" customWidth="1"/>
    <col min="12" max="12" width="25.85546875" style="37" bestFit="1" customWidth="1"/>
    <col min="13" max="13" width="11.85546875" style="37" bestFit="1" customWidth="1"/>
    <col min="14" max="14" width="10.28515625" style="37" customWidth="1"/>
    <col min="15" max="16384" width="9.140625" style="37"/>
  </cols>
  <sheetData>
    <row r="1" spans="1:245" s="22" customFormat="1" ht="12" customHeight="1" x14ac:dyDescent="0.25">
      <c r="A1" s="21" t="s">
        <v>60</v>
      </c>
      <c r="B1" s="21"/>
      <c r="F1" s="23"/>
      <c r="G1" s="23"/>
      <c r="H1" s="23"/>
      <c r="I1" s="23"/>
      <c r="J1" s="23"/>
      <c r="K1" s="23"/>
      <c r="L1" s="23"/>
    </row>
    <row r="2" spans="1:245" s="22" customFormat="1" ht="15" x14ac:dyDescent="0.25">
      <c r="A2" s="21" t="s">
        <v>55</v>
      </c>
      <c r="B2" s="21"/>
      <c r="F2" s="23"/>
      <c r="G2" s="23"/>
      <c r="H2" s="23"/>
      <c r="I2" s="23"/>
      <c r="J2" s="23"/>
      <c r="K2" s="23"/>
      <c r="L2" s="23"/>
    </row>
    <row r="3" spans="1:245" s="22" customFormat="1" ht="15" x14ac:dyDescent="0.25">
      <c r="A3" s="24"/>
      <c r="B3" s="25"/>
      <c r="F3" s="23"/>
      <c r="G3" s="23"/>
      <c r="H3" s="23"/>
      <c r="I3" s="23"/>
      <c r="J3" s="23"/>
      <c r="K3" s="23"/>
      <c r="L3" s="23"/>
    </row>
    <row r="4" spans="1:245" s="22" customFormat="1" ht="15.75" thickBot="1" x14ac:dyDescent="0.3">
      <c r="A4" s="156" t="s">
        <v>58</v>
      </c>
      <c r="B4" s="25"/>
      <c r="F4" s="23"/>
      <c r="G4" s="23"/>
      <c r="H4" s="23"/>
      <c r="I4" s="23"/>
      <c r="J4" s="23"/>
      <c r="K4" s="23"/>
      <c r="L4" s="23"/>
    </row>
    <row r="5" spans="1:245" s="31" customFormat="1" ht="12.75" customHeight="1" x14ac:dyDescent="0.25">
      <c r="A5" s="207" t="s">
        <v>0</v>
      </c>
      <c r="B5" s="209" t="s">
        <v>13</v>
      </c>
      <c r="C5" s="211" t="s">
        <v>10</v>
      </c>
      <c r="D5" s="211" t="s">
        <v>6</v>
      </c>
      <c r="E5" s="211" t="s">
        <v>50</v>
      </c>
      <c r="F5" s="28" t="s">
        <v>2</v>
      </c>
      <c r="G5" s="26"/>
      <c r="H5" s="27" t="s">
        <v>11</v>
      </c>
      <c r="I5" s="28"/>
      <c r="J5" s="29" t="s">
        <v>12</v>
      </c>
      <c r="K5" s="30"/>
      <c r="L5" s="213" t="s">
        <v>36</v>
      </c>
      <c r="M5" s="205" t="s">
        <v>41</v>
      </c>
      <c r="N5" s="205" t="s">
        <v>35</v>
      </c>
    </row>
    <row r="6" spans="1:245" s="31" customFormat="1" ht="15.75" thickBot="1" x14ac:dyDescent="0.3">
      <c r="A6" s="208"/>
      <c r="B6" s="210"/>
      <c r="C6" s="212"/>
      <c r="D6" s="212"/>
      <c r="E6" s="212"/>
      <c r="F6" s="114" t="s">
        <v>14</v>
      </c>
      <c r="G6" s="114" t="s">
        <v>15</v>
      </c>
      <c r="H6" s="115" t="s">
        <v>16</v>
      </c>
      <c r="I6" s="114" t="s">
        <v>5</v>
      </c>
      <c r="J6" s="116" t="s">
        <v>17</v>
      </c>
      <c r="K6" s="116" t="s">
        <v>18</v>
      </c>
      <c r="L6" s="214"/>
      <c r="M6" s="206"/>
      <c r="N6" s="206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  <c r="DR6" s="32"/>
      <c r="DS6" s="32"/>
      <c r="DT6" s="32"/>
      <c r="DU6" s="32"/>
      <c r="DV6" s="32"/>
      <c r="DW6" s="32"/>
      <c r="DX6" s="32"/>
      <c r="DY6" s="32"/>
      <c r="DZ6" s="32"/>
      <c r="EA6" s="32"/>
      <c r="EB6" s="32"/>
      <c r="EC6" s="32"/>
      <c r="ED6" s="32"/>
      <c r="EE6" s="32"/>
      <c r="EF6" s="32"/>
      <c r="EG6" s="32"/>
      <c r="EH6" s="32"/>
      <c r="EI6" s="32"/>
      <c r="EJ6" s="32"/>
      <c r="EK6" s="32"/>
      <c r="EL6" s="32"/>
      <c r="EM6" s="32"/>
      <c r="EN6" s="32"/>
      <c r="EO6" s="32"/>
      <c r="EP6" s="32"/>
      <c r="EQ6" s="32"/>
      <c r="ER6" s="32"/>
      <c r="ES6" s="32"/>
      <c r="ET6" s="32"/>
      <c r="EU6" s="32"/>
      <c r="EV6" s="32"/>
      <c r="EW6" s="32"/>
      <c r="EX6" s="32"/>
      <c r="EY6" s="32"/>
      <c r="EZ6" s="32"/>
      <c r="FA6" s="32"/>
      <c r="FB6" s="32"/>
      <c r="FC6" s="32"/>
      <c r="FD6" s="32"/>
      <c r="FE6" s="32"/>
      <c r="FF6" s="32"/>
      <c r="FG6" s="32"/>
      <c r="FH6" s="32"/>
      <c r="FI6" s="32"/>
      <c r="FJ6" s="32"/>
      <c r="FK6" s="32"/>
      <c r="FL6" s="32"/>
      <c r="FM6" s="32"/>
      <c r="FN6" s="32"/>
      <c r="FO6" s="32"/>
      <c r="FP6" s="32"/>
      <c r="FQ6" s="32"/>
      <c r="FR6" s="32"/>
      <c r="FS6" s="32"/>
      <c r="FT6" s="32"/>
      <c r="FU6" s="32"/>
      <c r="FV6" s="32"/>
      <c r="FW6" s="32"/>
      <c r="FX6" s="32"/>
      <c r="FY6" s="32"/>
      <c r="FZ6" s="32"/>
      <c r="GA6" s="32"/>
      <c r="GB6" s="32"/>
      <c r="GC6" s="32"/>
      <c r="GD6" s="32"/>
      <c r="GE6" s="32"/>
      <c r="GF6" s="32"/>
      <c r="GG6" s="32"/>
      <c r="GH6" s="32"/>
      <c r="GI6" s="32"/>
      <c r="GJ6" s="32"/>
      <c r="GK6" s="32"/>
      <c r="GL6" s="32"/>
      <c r="GM6" s="32"/>
      <c r="GN6" s="32"/>
      <c r="GO6" s="32"/>
      <c r="GP6" s="32"/>
      <c r="GQ6" s="32"/>
      <c r="GR6" s="32"/>
      <c r="GS6" s="32"/>
      <c r="GT6" s="32"/>
      <c r="GU6" s="32"/>
      <c r="GV6" s="32"/>
      <c r="GW6" s="32"/>
      <c r="GX6" s="32"/>
      <c r="GY6" s="32"/>
      <c r="GZ6" s="32"/>
      <c r="HA6" s="32"/>
      <c r="HB6" s="32"/>
      <c r="HC6" s="32"/>
      <c r="HD6" s="32"/>
      <c r="HE6" s="32"/>
      <c r="HF6" s="32"/>
      <c r="HG6" s="32"/>
      <c r="HH6" s="32"/>
      <c r="HI6" s="32"/>
      <c r="HJ6" s="32"/>
      <c r="HK6" s="32"/>
      <c r="HL6" s="32"/>
      <c r="HM6" s="32"/>
      <c r="HN6" s="32"/>
      <c r="HO6" s="32"/>
      <c r="HP6" s="32"/>
      <c r="HQ6" s="32"/>
      <c r="HR6" s="32"/>
      <c r="HS6" s="32"/>
      <c r="HT6" s="32"/>
      <c r="HU6" s="32"/>
      <c r="HV6" s="32"/>
      <c r="HW6" s="32"/>
      <c r="HX6" s="32"/>
      <c r="HY6" s="32"/>
      <c r="HZ6" s="32"/>
      <c r="IA6" s="32"/>
      <c r="IB6" s="32"/>
      <c r="IC6" s="32"/>
      <c r="ID6" s="32"/>
      <c r="IE6" s="32"/>
      <c r="IF6" s="32"/>
      <c r="IG6" s="32"/>
      <c r="IH6" s="32"/>
      <c r="II6" s="32"/>
      <c r="IJ6" s="32"/>
      <c r="IK6" s="32"/>
    </row>
    <row r="7" spans="1:245" s="34" customFormat="1" ht="15.75" customHeight="1" x14ac:dyDescent="0.25">
      <c r="A7" s="16" t="str">
        <f ca="1">TEXT(NOW(), "mm/dd/yyyy")</f>
        <v>01/29/2020</v>
      </c>
      <c r="B7" s="64">
        <v>314562</v>
      </c>
      <c r="C7" s="17" t="s">
        <v>45</v>
      </c>
      <c r="D7" s="65" t="s">
        <v>25</v>
      </c>
      <c r="E7" s="66">
        <v>600</v>
      </c>
      <c r="F7" s="66">
        <f>IF(D7="CONSULT",ROUND(E7,2), IF(D7="PROCEDURE",ROUND(E7,2), IF(D7="MC",ROUND(E7,2), IF(D7="CONSULT/SLC",ROUND(E7*0.9,2), IF(D7="PROCEDURE/SLC",ROUND(E7*0.9,2), IF(D7="CONSULT/MCDO",ROUND(E7*0.833333,2), ROUND(E7*0.8/1.12,2)))))))</f>
        <v>428.57</v>
      </c>
      <c r="G7" s="67">
        <f>IF(D7="CONSULT", ROUND(F7/1.12*0.12,2), IF(D7="MC", ROUND(F7/1.12*0.12,2), IF(D7="PROCEDURE", ROUND(F7/1.12*0.12,2), IF(D7="CONSULT/SLC",ROUND(F7/1.12*0.12,2), IF(D7="PROCEDURE/SLC",ROUND(F7/1.12*0.12,2), IF(D7="CONSULT/MCDO",ROUND(F7/1.12*0.12,2),0))))))</f>
        <v>0</v>
      </c>
      <c r="H7" s="68">
        <f>IF(D7="CONSULT",ROUND(F7/1.12*0.7*0.95,2), IF(D7="MC", ROUND(F7/1.12*0.7*0.95,2), IF(D7="PROCEDURE",ROUND(F7/1.12*0.7*0.95,2), IF(D7="CONSULT/SLC",ROUND(F7/1.12*0.7*0.95,2),IF(D7="PROCEDURE/SLC",ROUND(F7/1.12*0.7*0.95,2),IF(D7="CONSULT/MCDO",ROUND(F7/1.12*0.7*0.95,2),ROUND(F7*0.7*0.95,2)))))))</f>
        <v>285</v>
      </c>
      <c r="I7" s="68">
        <f>IF(D7="CONSULT",ROUND(F7/1.12*0.7*0.05,2),IF(D7="MC", ROUND(F7/1.12*0.7*0.05,2), IF(D7="PROCEDURE",ROUND(F7/1.12*0.7*0.05,2), IF(D7="CONSULT/SLC",ROUND(F7/1.12*0.7*0.05,2),IF(D7="PROCEDURE/SLC",ROUND(F7/1.12*0.7*0.05,2),IF(D7="CONSULT/MCDO",ROUND(F7/1.12*0.7*0.05,2),ROUND(F7*0.7*0.05,2)))))))</f>
        <v>15</v>
      </c>
      <c r="J7" s="67">
        <f>IF(D7="CONSULT",ROUND(F7/1.12*0.3,2),IF(D7="MC", ROUND(F7/1.12*0.3,2), IF(D7="PROCEDURE",ROUND(F7/1.12*0.3,2), IF(D7="CONSULT/SLC",ROUND(F7/1.12*0.3,2),IF(D7="PROCEDURE/SLC",ROUND(F7/1.12*0.3,2),IF(D7="CONSULT/MCDO",ROUND(F7/1.12*0.3,2),ROUND(F7*0.3,2)))))))</f>
        <v>128.57</v>
      </c>
      <c r="K7" s="74">
        <f>+F7-G7-H7-I7-J7</f>
        <v>0</v>
      </c>
      <c r="L7" s="118" t="s">
        <v>39</v>
      </c>
      <c r="M7" s="127">
        <v>1000</v>
      </c>
      <c r="N7" s="69"/>
      <c r="O7" s="69"/>
      <c r="P7" s="69"/>
      <c r="Q7" s="69"/>
      <c r="R7" s="69"/>
      <c r="S7" s="69"/>
      <c r="T7" s="69"/>
      <c r="U7" s="69"/>
      <c r="V7" s="69"/>
      <c r="W7" s="69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  <c r="DR7" s="33"/>
      <c r="DS7" s="33"/>
      <c r="DT7" s="33"/>
      <c r="DU7" s="33"/>
      <c r="DV7" s="33"/>
      <c r="DW7" s="33"/>
      <c r="DX7" s="33"/>
      <c r="DY7" s="33"/>
      <c r="DZ7" s="33"/>
      <c r="EA7" s="33"/>
      <c r="EB7" s="33"/>
      <c r="EC7" s="33"/>
      <c r="ED7" s="33"/>
      <c r="EE7" s="33"/>
      <c r="EF7" s="33"/>
      <c r="EG7" s="33"/>
      <c r="EH7" s="33"/>
      <c r="EI7" s="33"/>
      <c r="EJ7" s="33"/>
      <c r="EK7" s="33"/>
      <c r="EL7" s="33"/>
      <c r="EM7" s="33"/>
      <c r="EN7" s="33"/>
      <c r="EO7" s="33"/>
      <c r="EP7" s="33"/>
      <c r="EQ7" s="33"/>
      <c r="ER7" s="33"/>
      <c r="ES7" s="33"/>
      <c r="ET7" s="33"/>
      <c r="EU7" s="33"/>
      <c r="EV7" s="33"/>
      <c r="EW7" s="33"/>
      <c r="EX7" s="33"/>
      <c r="EY7" s="33"/>
      <c r="EZ7" s="33"/>
      <c r="FA7" s="33"/>
      <c r="FB7" s="33"/>
      <c r="FC7" s="33"/>
      <c r="FD7" s="33"/>
      <c r="FE7" s="33"/>
      <c r="FF7" s="33"/>
      <c r="FG7" s="33"/>
      <c r="FH7" s="33"/>
      <c r="FI7" s="33"/>
      <c r="FJ7" s="33"/>
      <c r="FK7" s="33"/>
      <c r="FL7" s="33"/>
      <c r="FM7" s="33"/>
      <c r="FN7" s="33"/>
      <c r="FO7" s="33"/>
      <c r="FP7" s="33"/>
      <c r="FQ7" s="33"/>
      <c r="FR7" s="33"/>
      <c r="FS7" s="33"/>
      <c r="FT7" s="33"/>
      <c r="FU7" s="33"/>
      <c r="FV7" s="33"/>
      <c r="FW7" s="33"/>
      <c r="FX7" s="33"/>
      <c r="FY7" s="33"/>
      <c r="FZ7" s="33"/>
      <c r="GA7" s="33"/>
      <c r="GB7" s="33"/>
      <c r="GC7" s="33"/>
      <c r="GD7" s="33"/>
      <c r="GE7" s="33"/>
      <c r="GF7" s="33"/>
      <c r="GG7" s="33"/>
      <c r="GH7" s="33"/>
      <c r="GI7" s="33"/>
      <c r="GJ7" s="33"/>
      <c r="GK7" s="33"/>
      <c r="GL7" s="33"/>
      <c r="GM7" s="33"/>
      <c r="GN7" s="33"/>
      <c r="GO7" s="33"/>
      <c r="GP7" s="33"/>
      <c r="GQ7" s="33"/>
      <c r="GR7" s="33"/>
      <c r="GS7" s="33"/>
      <c r="GT7" s="33"/>
      <c r="GU7" s="33"/>
      <c r="GV7" s="33"/>
      <c r="GW7" s="33"/>
      <c r="GX7" s="33"/>
      <c r="GY7" s="33"/>
      <c r="GZ7" s="33"/>
      <c r="HA7" s="33"/>
      <c r="HB7" s="33"/>
      <c r="HC7" s="33"/>
      <c r="HD7" s="33"/>
      <c r="HE7" s="33"/>
      <c r="HF7" s="33"/>
      <c r="HG7" s="33"/>
      <c r="HH7" s="33"/>
      <c r="HI7" s="33"/>
      <c r="HJ7" s="33"/>
      <c r="HK7" s="33"/>
      <c r="HL7" s="33"/>
      <c r="HM7" s="33"/>
      <c r="HN7" s="33"/>
      <c r="HO7" s="33"/>
      <c r="HP7" s="33"/>
      <c r="HQ7" s="33"/>
      <c r="HR7" s="33"/>
      <c r="HS7" s="33"/>
      <c r="HT7" s="33"/>
      <c r="HU7" s="33"/>
      <c r="HV7" s="33"/>
      <c r="HW7" s="33"/>
      <c r="HX7" s="33"/>
      <c r="HY7" s="33"/>
      <c r="HZ7" s="33"/>
      <c r="IA7" s="33"/>
      <c r="IB7" s="33"/>
      <c r="IC7" s="33"/>
      <c r="ID7" s="33"/>
      <c r="IE7" s="33"/>
      <c r="IF7" s="33"/>
      <c r="IG7" s="33"/>
      <c r="IH7" s="33"/>
      <c r="II7" s="33"/>
      <c r="IJ7" s="33"/>
      <c r="IK7" s="33"/>
    </row>
    <row r="8" spans="1:245" s="36" customFormat="1" ht="15" x14ac:dyDescent="0.25">
      <c r="A8" s="16"/>
      <c r="B8" s="64">
        <v>315684</v>
      </c>
      <c r="C8" s="17" t="s">
        <v>46</v>
      </c>
      <c r="D8" s="65" t="s">
        <v>26</v>
      </c>
      <c r="E8" s="66">
        <v>600</v>
      </c>
      <c r="F8" s="66">
        <f t="shared" ref="F8:F16" si="0">IF(D8="CONSULT",ROUND(E8,2), IF(D8="PROCEDURE",ROUND(E8,2), IF(D8="MC",ROUND(E8,2), IF(D8="CONSULT/SLC",ROUND(E8*0.9,2), IF(D8="PROCEDURE/SLC",ROUND(E8*0.9,2), IF(D8="CONSULT/MCDO",ROUND(E8*0.833333,2), ROUND(E8*0.8/1.12,2)))))))</f>
        <v>600</v>
      </c>
      <c r="G8" s="67">
        <f t="shared" ref="G8:G16" si="1">IF(D8="CONSULT", ROUND(F8/1.12*0.12,2), IF(D8="MC", ROUND(F8/1.12*0.12,2), IF(D8="PROCEDURE", ROUND(F8/1.12*0.12,2), IF(D8="CONSULT/SLC",ROUND(F8/1.12*0.12,2), IF(D8="PROCEDURE/SLC",ROUND(F8/1.12*0.12,2), IF(D8="CONSULT/MCDO",ROUND(F8/1.12*0.12,2),0))))))</f>
        <v>64.290000000000006</v>
      </c>
      <c r="H8" s="68">
        <f t="shared" ref="H8:H16" si="2">IF(D8="CONSULT",ROUND(F8/1.12*0.7*0.95,2), IF(D8="MC", ROUND(F8/1.12*0.7*0.95,2), IF(D8="PROCEDURE",ROUND(F8/1.12*0.7*0.95,2), IF(D8="CONSULT/SLC",ROUND(F8/1.12*0.7*0.95,2),IF(D8="PROCEDURE/SLC",ROUND(F8/1.12*0.7*0.95,2),IF(D8="CONSULT/MCDO",ROUND(F8/1.12*0.7*0.95,2),ROUND(F8*0.7*0.95,2)))))))</f>
        <v>356.25</v>
      </c>
      <c r="I8" s="68">
        <f t="shared" ref="I8:I16" si="3">IF(D8="CONSULT",ROUND(F8/1.12*0.7*0.05,2),IF(D8="MC", ROUND(F8/1.12*0.7*0.05,2), IF(D8="PROCEDURE",ROUND(F8/1.12*0.7*0.05,2), IF(D8="CONSULT/SLC",ROUND(F8/1.12*0.7*0.05,2),IF(D8="PROCEDURE/SLC",ROUND(F8/1.12*0.7*0.05,2),IF(D8="CONSULT/MCDO",ROUND(F8/1.12*0.7*0.05,2),ROUND(F8*0.7*0.05,2)))))))</f>
        <v>18.75</v>
      </c>
      <c r="J8" s="67">
        <f t="shared" ref="J8:J16" si="4">IF(D8="CONSULT",ROUND(F8/1.12*0.3,2),IF(D8="MC", ROUND(F8/1.12*0.3,2), IF(D8="PROCEDURE",ROUND(F8/1.12*0.3,2), IF(D8="CONSULT/SLC",ROUND(F8/1.12*0.3,2),IF(D8="PROCEDURE/SLC",ROUND(F8/1.12*0.3,2),IF(D8="CONSULT/MCDO",ROUND(F8/1.12*0.3,2),ROUND(F8*0.3,2)))))))</f>
        <v>160.71</v>
      </c>
      <c r="K8" s="74">
        <f t="shared" ref="K8:K16" si="5">+F8-G8-H8-I8-J8</f>
        <v>0</v>
      </c>
      <c r="L8" s="74"/>
      <c r="M8" s="127">
        <v>1000</v>
      </c>
      <c r="N8" s="70"/>
      <c r="O8" s="70"/>
      <c r="P8" s="70"/>
      <c r="Q8" s="70"/>
      <c r="R8" s="70"/>
      <c r="S8" s="70"/>
      <c r="T8" s="70"/>
      <c r="U8" s="70"/>
      <c r="V8" s="70"/>
      <c r="W8" s="70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35"/>
      <c r="EN8" s="35"/>
      <c r="EO8" s="35"/>
      <c r="EP8" s="35"/>
      <c r="EQ8" s="35"/>
      <c r="ER8" s="35"/>
      <c r="ES8" s="35"/>
      <c r="ET8" s="35"/>
      <c r="EU8" s="35"/>
      <c r="EV8" s="35"/>
      <c r="EW8" s="35"/>
      <c r="EX8" s="35"/>
      <c r="EY8" s="35"/>
      <c r="EZ8" s="35"/>
      <c r="FA8" s="35"/>
      <c r="FB8" s="35"/>
      <c r="FC8" s="35"/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35"/>
      <c r="GD8" s="35"/>
      <c r="GE8" s="35"/>
      <c r="GF8" s="35"/>
      <c r="GG8" s="35"/>
      <c r="GH8" s="35"/>
      <c r="GI8" s="35"/>
      <c r="GJ8" s="35"/>
      <c r="GK8" s="35"/>
      <c r="GL8" s="35"/>
      <c r="GM8" s="35"/>
      <c r="GN8" s="35"/>
      <c r="GO8" s="35"/>
      <c r="GP8" s="35"/>
      <c r="GQ8" s="35"/>
      <c r="GR8" s="35"/>
      <c r="GS8" s="35"/>
      <c r="GT8" s="35"/>
      <c r="GU8" s="35"/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35"/>
      <c r="HT8" s="35"/>
      <c r="HU8" s="35"/>
      <c r="HV8" s="35"/>
      <c r="HW8" s="35"/>
      <c r="HX8" s="35"/>
      <c r="HY8" s="35"/>
      <c r="HZ8" s="35"/>
      <c r="IA8" s="35"/>
      <c r="IB8" s="35"/>
      <c r="IC8" s="35"/>
      <c r="ID8" s="35"/>
      <c r="IE8" s="35"/>
      <c r="IF8" s="35"/>
      <c r="IG8" s="35"/>
      <c r="IH8" s="35"/>
      <c r="II8" s="35"/>
      <c r="IJ8" s="35"/>
      <c r="IK8" s="35"/>
    </row>
    <row r="9" spans="1:245" ht="15" customHeight="1" x14ac:dyDescent="0.25">
      <c r="A9" s="16"/>
      <c r="B9" s="64">
        <v>315690</v>
      </c>
      <c r="C9" s="72" t="s">
        <v>42</v>
      </c>
      <c r="D9" s="65" t="s">
        <v>27</v>
      </c>
      <c r="E9" s="66">
        <v>600</v>
      </c>
      <c r="F9" s="66">
        <f t="shared" si="0"/>
        <v>540</v>
      </c>
      <c r="G9" s="67">
        <f t="shared" si="1"/>
        <v>57.86</v>
      </c>
      <c r="H9" s="68">
        <f t="shared" si="2"/>
        <v>320.63</v>
      </c>
      <c r="I9" s="68">
        <f t="shared" si="3"/>
        <v>16.88</v>
      </c>
      <c r="J9" s="67">
        <f t="shared" si="4"/>
        <v>144.63999999999999</v>
      </c>
      <c r="K9" s="74">
        <f t="shared" si="5"/>
        <v>-9.9999999999909051E-3</v>
      </c>
      <c r="L9" s="118" t="s">
        <v>40</v>
      </c>
      <c r="M9" s="127">
        <v>1000</v>
      </c>
      <c r="N9" s="22"/>
      <c r="O9" s="22"/>
      <c r="P9" s="22"/>
      <c r="Q9" s="22"/>
      <c r="R9" s="22"/>
      <c r="S9" s="22"/>
      <c r="T9" s="22"/>
      <c r="U9" s="22"/>
      <c r="V9" s="22"/>
      <c r="W9" s="22"/>
    </row>
    <row r="10" spans="1:245" ht="14.25" customHeight="1" x14ac:dyDescent="0.25">
      <c r="A10" s="17"/>
      <c r="B10" s="71">
        <v>315692</v>
      </c>
      <c r="C10" s="72" t="s">
        <v>59</v>
      </c>
      <c r="D10" s="73" t="s">
        <v>27</v>
      </c>
      <c r="E10" s="79">
        <v>600</v>
      </c>
      <c r="F10" s="66">
        <f t="shared" si="0"/>
        <v>540</v>
      </c>
      <c r="G10" s="67">
        <f t="shared" si="1"/>
        <v>57.86</v>
      </c>
      <c r="H10" s="68">
        <f t="shared" si="2"/>
        <v>320.63</v>
      </c>
      <c r="I10" s="68">
        <f t="shared" si="3"/>
        <v>16.88</v>
      </c>
      <c r="J10" s="67">
        <f t="shared" si="4"/>
        <v>144.63999999999999</v>
      </c>
      <c r="K10" s="74">
        <f t="shared" si="5"/>
        <v>-9.9999999999909051E-3</v>
      </c>
      <c r="L10" s="4" t="s">
        <v>52</v>
      </c>
      <c r="M10" s="127">
        <v>2000</v>
      </c>
      <c r="N10" s="22"/>
      <c r="O10" s="22"/>
      <c r="P10" s="22"/>
      <c r="Q10" s="22"/>
      <c r="R10" s="22"/>
      <c r="S10" s="22"/>
      <c r="T10" s="22"/>
      <c r="U10" s="22"/>
      <c r="V10" s="22"/>
      <c r="W10" s="22"/>
    </row>
    <row r="11" spans="1:245" ht="15.75" customHeight="1" x14ac:dyDescent="0.25">
      <c r="A11" s="17"/>
      <c r="B11" s="71">
        <v>315693</v>
      </c>
      <c r="C11" s="72" t="s">
        <v>59</v>
      </c>
      <c r="D11" s="73" t="s">
        <v>51</v>
      </c>
      <c r="E11" s="79">
        <v>1500</v>
      </c>
      <c r="F11" s="66">
        <f t="shared" si="0"/>
        <v>1350</v>
      </c>
      <c r="G11" s="67">
        <f t="shared" si="1"/>
        <v>144.63999999999999</v>
      </c>
      <c r="H11" s="68">
        <f t="shared" si="2"/>
        <v>801.56</v>
      </c>
      <c r="I11" s="68">
        <f t="shared" si="3"/>
        <v>42.19</v>
      </c>
      <c r="J11" s="67">
        <f t="shared" si="4"/>
        <v>361.61</v>
      </c>
      <c r="K11" s="74">
        <f t="shared" si="5"/>
        <v>0</v>
      </c>
      <c r="L11" s="4" t="s">
        <v>52</v>
      </c>
      <c r="M11" s="127"/>
      <c r="N11" s="22"/>
      <c r="O11" s="22"/>
      <c r="P11" s="22"/>
      <c r="Q11" s="22"/>
      <c r="R11" s="22"/>
      <c r="S11" s="22"/>
      <c r="T11" s="22"/>
      <c r="U11" s="22"/>
      <c r="V11" s="22"/>
      <c r="W11" s="22"/>
    </row>
    <row r="12" spans="1:245" ht="15" customHeight="1" x14ac:dyDescent="0.25">
      <c r="A12" s="17"/>
      <c r="B12" s="71">
        <v>315694</v>
      </c>
      <c r="C12" s="72" t="s">
        <v>59</v>
      </c>
      <c r="D12" s="73" t="s">
        <v>28</v>
      </c>
      <c r="E12" s="79">
        <v>150</v>
      </c>
      <c r="F12" s="66">
        <f t="shared" si="0"/>
        <v>150</v>
      </c>
      <c r="G12" s="67">
        <f t="shared" si="1"/>
        <v>16.07</v>
      </c>
      <c r="H12" s="68">
        <f t="shared" si="2"/>
        <v>89.06</v>
      </c>
      <c r="I12" s="68">
        <f t="shared" si="3"/>
        <v>4.6900000000000004</v>
      </c>
      <c r="J12" s="67">
        <f t="shared" si="4"/>
        <v>40.18</v>
      </c>
      <c r="K12" s="74">
        <f t="shared" si="5"/>
        <v>0</v>
      </c>
      <c r="L12" s="4"/>
      <c r="M12" s="127"/>
      <c r="N12" s="22"/>
      <c r="O12" s="22"/>
      <c r="P12" s="22"/>
      <c r="Q12" s="22"/>
      <c r="R12" s="22"/>
      <c r="S12" s="22"/>
      <c r="T12" s="22"/>
      <c r="U12" s="22"/>
      <c r="V12" s="22"/>
      <c r="W12" s="22"/>
    </row>
    <row r="13" spans="1:245" ht="15" x14ac:dyDescent="0.25">
      <c r="A13" s="17"/>
      <c r="B13" s="71">
        <v>315696</v>
      </c>
      <c r="C13" s="72" t="s">
        <v>31</v>
      </c>
      <c r="D13" s="73" t="s">
        <v>38</v>
      </c>
      <c r="E13" s="79">
        <v>600</v>
      </c>
      <c r="F13" s="66">
        <f t="shared" si="0"/>
        <v>428.57</v>
      </c>
      <c r="G13" s="67">
        <f t="shared" si="1"/>
        <v>0</v>
      </c>
      <c r="H13" s="68">
        <f t="shared" si="2"/>
        <v>285</v>
      </c>
      <c r="I13" s="68">
        <f t="shared" si="3"/>
        <v>15</v>
      </c>
      <c r="J13" s="67">
        <f t="shared" si="4"/>
        <v>128.57</v>
      </c>
      <c r="K13" s="74">
        <f t="shared" si="5"/>
        <v>0</v>
      </c>
      <c r="L13" s="4" t="s">
        <v>37</v>
      </c>
      <c r="M13" s="127">
        <v>1000</v>
      </c>
      <c r="N13" s="22"/>
      <c r="O13" s="22"/>
      <c r="P13" s="22"/>
      <c r="Q13" s="22"/>
      <c r="R13" s="22"/>
      <c r="S13" s="22"/>
      <c r="T13" s="22"/>
      <c r="U13" s="22"/>
      <c r="V13" s="22"/>
      <c r="W13" s="22"/>
    </row>
    <row r="14" spans="1:245" ht="15" x14ac:dyDescent="0.25">
      <c r="A14" s="17"/>
      <c r="B14" s="71"/>
      <c r="C14" s="17"/>
      <c r="D14" s="73"/>
      <c r="E14" s="66"/>
      <c r="F14" s="66">
        <f t="shared" si="0"/>
        <v>0</v>
      </c>
      <c r="G14" s="67">
        <f t="shared" si="1"/>
        <v>0</v>
      </c>
      <c r="H14" s="68">
        <f t="shared" si="2"/>
        <v>0</v>
      </c>
      <c r="I14" s="68">
        <f t="shared" si="3"/>
        <v>0</v>
      </c>
      <c r="J14" s="67">
        <f t="shared" si="4"/>
        <v>0</v>
      </c>
      <c r="K14" s="74">
        <f t="shared" si="5"/>
        <v>0</v>
      </c>
      <c r="L14" s="4"/>
      <c r="M14" s="148"/>
      <c r="N14" s="22"/>
      <c r="O14" s="22"/>
      <c r="P14" s="22"/>
      <c r="Q14" s="22"/>
      <c r="R14" s="22"/>
      <c r="S14" s="22"/>
      <c r="T14" s="22"/>
      <c r="U14" s="22"/>
      <c r="V14" s="22"/>
      <c r="W14" s="22"/>
    </row>
    <row r="15" spans="1:245" ht="15" x14ac:dyDescent="0.25">
      <c r="A15" s="75"/>
      <c r="B15" s="71"/>
      <c r="C15" s="72"/>
      <c r="D15" s="73"/>
      <c r="E15" s="79"/>
      <c r="F15" s="66">
        <f t="shared" si="0"/>
        <v>0</v>
      </c>
      <c r="G15" s="67">
        <f t="shared" si="1"/>
        <v>0</v>
      </c>
      <c r="H15" s="68">
        <f t="shared" si="2"/>
        <v>0</v>
      </c>
      <c r="I15" s="68">
        <f t="shared" si="3"/>
        <v>0</v>
      </c>
      <c r="J15" s="67">
        <f t="shared" si="4"/>
        <v>0</v>
      </c>
      <c r="K15" s="74">
        <f t="shared" si="5"/>
        <v>0</v>
      </c>
      <c r="L15" s="4"/>
      <c r="M15" s="128"/>
      <c r="N15" s="22"/>
      <c r="O15" s="22"/>
      <c r="P15" s="22"/>
      <c r="Q15" s="22"/>
      <c r="R15" s="22"/>
      <c r="S15" s="22"/>
      <c r="T15" s="22"/>
      <c r="U15" s="22"/>
      <c r="V15" s="22"/>
      <c r="W15" s="22"/>
    </row>
    <row r="16" spans="1:245" ht="15" x14ac:dyDescent="0.25">
      <c r="A16" s="75"/>
      <c r="B16" s="71"/>
      <c r="C16" s="72"/>
      <c r="D16" s="73"/>
      <c r="E16" s="79"/>
      <c r="F16" s="66">
        <f t="shared" si="0"/>
        <v>0</v>
      </c>
      <c r="G16" s="67">
        <f t="shared" si="1"/>
        <v>0</v>
      </c>
      <c r="H16" s="68">
        <f t="shared" si="2"/>
        <v>0</v>
      </c>
      <c r="I16" s="68">
        <f t="shared" si="3"/>
        <v>0</v>
      </c>
      <c r="J16" s="67">
        <f t="shared" si="4"/>
        <v>0</v>
      </c>
      <c r="K16" s="74">
        <f t="shared" si="5"/>
        <v>0</v>
      </c>
      <c r="L16" s="4"/>
      <c r="M16" s="128"/>
      <c r="N16" s="22"/>
      <c r="O16" s="22"/>
      <c r="P16" s="22"/>
      <c r="Q16" s="22"/>
      <c r="R16" s="22"/>
      <c r="S16" s="22"/>
      <c r="T16" s="22"/>
      <c r="U16" s="22"/>
      <c r="V16" s="22"/>
      <c r="W16" s="22"/>
    </row>
    <row r="17" spans="1:23" ht="15" x14ac:dyDescent="0.25">
      <c r="A17" s="75"/>
      <c r="B17" s="75"/>
      <c r="C17" s="75"/>
      <c r="D17" s="75"/>
      <c r="E17" s="75"/>
      <c r="F17" s="76"/>
      <c r="G17" s="76"/>
      <c r="H17" s="77">
        <f>SUM(H7:H16)</f>
        <v>2458.1299999999997</v>
      </c>
      <c r="I17" s="76"/>
      <c r="J17" s="76"/>
      <c r="K17" s="76"/>
      <c r="L17" s="75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</row>
    <row r="18" spans="1:23" ht="14.25" x14ac:dyDescent="0.2">
      <c r="F18" s="66"/>
    </row>
    <row r="19" spans="1:23" ht="14.25" x14ac:dyDescent="0.2">
      <c r="F19" s="66"/>
    </row>
    <row r="20" spans="1:23" ht="14.25" x14ac:dyDescent="0.2">
      <c r="F20" s="66"/>
    </row>
    <row r="21" spans="1:23" ht="14.25" x14ac:dyDescent="0.2">
      <c r="F21" s="79"/>
    </row>
    <row r="22" spans="1:23" ht="14.25" x14ac:dyDescent="0.2">
      <c r="F22" s="79"/>
    </row>
    <row r="23" spans="1:23" ht="14.25" x14ac:dyDescent="0.2">
      <c r="F23" s="79"/>
    </row>
    <row r="24" spans="1:23" ht="14.25" x14ac:dyDescent="0.2">
      <c r="F24" s="79"/>
    </row>
    <row r="25" spans="1:23" ht="14.25" x14ac:dyDescent="0.2">
      <c r="F25" s="66"/>
    </row>
    <row r="34" spans="1:10" x14ac:dyDescent="0.2">
      <c r="A34" s="39"/>
      <c r="B34" s="39"/>
      <c r="C34" s="20"/>
      <c r="D34" s="39"/>
      <c r="E34" s="39"/>
      <c r="F34" s="39"/>
      <c r="G34" s="39"/>
      <c r="H34" s="39"/>
      <c r="I34" s="39"/>
      <c r="J34" s="39"/>
    </row>
  </sheetData>
  <sheetProtection formatCells="0"/>
  <protectedRanges>
    <protectedRange sqref="A4 L7:N16 B7:E16" name="Edited Cells"/>
  </protectedRanges>
  <mergeCells count="8">
    <mergeCell ref="N5:N6"/>
    <mergeCell ref="M5:M6"/>
    <mergeCell ref="A5:A6"/>
    <mergeCell ref="B5:B6"/>
    <mergeCell ref="C5:C6"/>
    <mergeCell ref="D5:D6"/>
    <mergeCell ref="L5:L6"/>
    <mergeCell ref="E5:E6"/>
  </mergeCells>
  <printOptions gridLines="1"/>
  <pageMargins left="0.2" right="0.2" top="0.75" bottom="0.75" header="0.3" footer="0.3"/>
  <pageSetup scale="61" orientation="landscape" horizontalDpi="120" verticalDpi="7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  <pageSetUpPr fitToPage="1"/>
  </sheetPr>
  <dimension ref="A1:IK34"/>
  <sheetViews>
    <sheetView tabSelected="1" workbookViewId="0">
      <pane xSplit="5" topLeftCell="F1" activePane="topRight" state="frozen"/>
      <selection pane="topRight" activeCell="C11" sqref="C11"/>
    </sheetView>
  </sheetViews>
  <sheetFormatPr defaultRowHeight="12.75" x14ac:dyDescent="0.2"/>
  <cols>
    <col min="1" max="1" width="15.140625" style="182" customWidth="1"/>
    <col min="2" max="2" width="10.5703125" style="182" bestFit="1" customWidth="1"/>
    <col min="3" max="3" width="26.7109375" style="182" customWidth="1"/>
    <col min="4" max="4" width="14.5703125" style="182" bestFit="1" customWidth="1"/>
    <col min="5" max="5" width="10.42578125" style="182" bestFit="1" customWidth="1"/>
    <col min="6" max="6" width="10.85546875" style="191" bestFit="1" customWidth="1"/>
    <col min="7" max="7" width="7.5703125" style="191" bestFit="1" customWidth="1"/>
    <col min="8" max="8" width="12.140625" style="191" bestFit="1" customWidth="1"/>
    <col min="9" max="9" width="7.5703125" style="191" bestFit="1" customWidth="1"/>
    <col min="10" max="10" width="11.7109375" style="191" customWidth="1"/>
    <col min="11" max="11" width="11.5703125" style="191" customWidth="1"/>
    <col min="12" max="12" width="27.140625" style="182" bestFit="1" customWidth="1"/>
    <col min="13" max="13" width="11.85546875" style="182" bestFit="1" customWidth="1"/>
    <col min="14" max="14" width="10.85546875" style="182" customWidth="1"/>
    <col min="15" max="16384" width="9.140625" style="182"/>
  </cols>
  <sheetData>
    <row r="1" spans="1:245" s="150" customFormat="1" ht="12" customHeight="1" x14ac:dyDescent="0.25">
      <c r="A1" s="149" t="s">
        <v>60</v>
      </c>
      <c r="B1" s="149"/>
      <c r="F1" s="151"/>
      <c r="G1" s="151"/>
      <c r="H1" s="151"/>
      <c r="I1" s="151"/>
      <c r="J1" s="151"/>
      <c r="K1" s="151"/>
      <c r="L1" s="151"/>
    </row>
    <row r="2" spans="1:245" s="150" customFormat="1" ht="15" x14ac:dyDescent="0.25">
      <c r="A2" s="149" t="s">
        <v>55</v>
      </c>
      <c r="B2" s="149"/>
      <c r="F2" s="151"/>
      <c r="G2" s="152"/>
      <c r="H2" s="151"/>
      <c r="I2" s="151"/>
      <c r="J2" s="151"/>
      <c r="K2" s="151"/>
      <c r="L2" s="151"/>
    </row>
    <row r="3" spans="1:245" s="150" customFormat="1" ht="15" x14ac:dyDescent="0.25">
      <c r="A3" s="153"/>
      <c r="B3" s="154"/>
      <c r="F3" s="151"/>
      <c r="G3" s="155"/>
      <c r="H3" s="151"/>
      <c r="I3" s="151"/>
      <c r="J3" s="151"/>
      <c r="K3" s="151"/>
      <c r="L3" s="151"/>
    </row>
    <row r="4" spans="1:245" s="150" customFormat="1" ht="15.75" thickBot="1" x14ac:dyDescent="0.3">
      <c r="A4" s="156" t="s">
        <v>58</v>
      </c>
      <c r="B4" s="154"/>
      <c r="F4" s="151"/>
      <c r="G4" s="151"/>
      <c r="H4" s="151"/>
      <c r="I4" s="151"/>
      <c r="J4" s="151"/>
      <c r="K4" s="151"/>
      <c r="L4" s="151"/>
    </row>
    <row r="5" spans="1:245" s="162" customFormat="1" ht="12.75" customHeight="1" x14ac:dyDescent="0.25">
      <c r="A5" s="207" t="s">
        <v>0</v>
      </c>
      <c r="B5" s="217" t="s">
        <v>13</v>
      </c>
      <c r="C5" s="211" t="s">
        <v>10</v>
      </c>
      <c r="D5" s="211" t="s">
        <v>6</v>
      </c>
      <c r="E5" s="211" t="s">
        <v>50</v>
      </c>
      <c r="F5" s="157" t="s">
        <v>2</v>
      </c>
      <c r="G5" s="158"/>
      <c r="H5" s="159" t="s">
        <v>11</v>
      </c>
      <c r="I5" s="157"/>
      <c r="J5" s="160" t="s">
        <v>12</v>
      </c>
      <c r="K5" s="161"/>
      <c r="L5" s="219" t="s">
        <v>36</v>
      </c>
      <c r="M5" s="215" t="s">
        <v>41</v>
      </c>
      <c r="N5" s="215" t="s">
        <v>35</v>
      </c>
    </row>
    <row r="6" spans="1:245" s="162" customFormat="1" ht="15.75" thickBot="1" x14ac:dyDescent="0.3">
      <c r="A6" s="208"/>
      <c r="B6" s="218"/>
      <c r="C6" s="212"/>
      <c r="D6" s="212"/>
      <c r="E6" s="212"/>
      <c r="F6" s="163" t="s">
        <v>14</v>
      </c>
      <c r="G6" s="163" t="s">
        <v>15</v>
      </c>
      <c r="H6" s="164" t="s">
        <v>16</v>
      </c>
      <c r="I6" s="163" t="s">
        <v>5</v>
      </c>
      <c r="J6" s="165" t="s">
        <v>17</v>
      </c>
      <c r="K6" s="165" t="s">
        <v>18</v>
      </c>
      <c r="L6" s="220"/>
      <c r="M6" s="216"/>
      <c r="N6" s="21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  <c r="CA6" s="166"/>
      <c r="CB6" s="166"/>
      <c r="CC6" s="166"/>
      <c r="CD6" s="166"/>
      <c r="CE6" s="166"/>
      <c r="CF6" s="166"/>
      <c r="CG6" s="166"/>
      <c r="CH6" s="166"/>
      <c r="CI6" s="166"/>
      <c r="CJ6" s="166"/>
      <c r="CK6" s="166"/>
      <c r="CL6" s="166"/>
      <c r="CM6" s="166"/>
      <c r="CN6" s="166"/>
      <c r="CO6" s="166"/>
      <c r="CP6" s="166"/>
      <c r="CQ6" s="166"/>
      <c r="CR6" s="166"/>
      <c r="CS6" s="166"/>
      <c r="CT6" s="166"/>
      <c r="CU6" s="166"/>
      <c r="CV6" s="166"/>
      <c r="CW6" s="166"/>
      <c r="CX6" s="166"/>
      <c r="CY6" s="166"/>
      <c r="CZ6" s="166"/>
      <c r="DA6" s="166"/>
      <c r="DB6" s="166"/>
      <c r="DC6" s="166"/>
      <c r="DD6" s="166"/>
      <c r="DE6" s="166"/>
      <c r="DF6" s="166"/>
      <c r="DG6" s="166"/>
      <c r="DH6" s="166"/>
      <c r="DI6" s="166"/>
      <c r="DJ6" s="166"/>
      <c r="DK6" s="166"/>
      <c r="DL6" s="166"/>
      <c r="DM6" s="166"/>
      <c r="DN6" s="166"/>
      <c r="DO6" s="166"/>
      <c r="DP6" s="166"/>
      <c r="DQ6" s="166"/>
      <c r="DR6" s="166"/>
      <c r="DS6" s="166"/>
      <c r="DT6" s="166"/>
      <c r="DU6" s="166"/>
      <c r="DV6" s="166"/>
      <c r="DW6" s="166"/>
      <c r="DX6" s="166"/>
      <c r="DY6" s="166"/>
      <c r="DZ6" s="166"/>
      <c r="EA6" s="166"/>
      <c r="EB6" s="166"/>
      <c r="EC6" s="166"/>
      <c r="ED6" s="166"/>
      <c r="EE6" s="166"/>
      <c r="EF6" s="166"/>
      <c r="EG6" s="166"/>
      <c r="EH6" s="166"/>
      <c r="EI6" s="166"/>
      <c r="EJ6" s="166"/>
      <c r="EK6" s="166"/>
      <c r="EL6" s="166"/>
      <c r="EM6" s="166"/>
      <c r="EN6" s="166"/>
      <c r="EO6" s="166"/>
      <c r="EP6" s="166"/>
      <c r="EQ6" s="166"/>
      <c r="ER6" s="166"/>
      <c r="ES6" s="166"/>
      <c r="ET6" s="166"/>
      <c r="EU6" s="166"/>
      <c r="EV6" s="166"/>
      <c r="EW6" s="166"/>
      <c r="EX6" s="166"/>
      <c r="EY6" s="166"/>
      <c r="EZ6" s="166"/>
      <c r="FA6" s="166"/>
      <c r="FB6" s="166"/>
      <c r="FC6" s="166"/>
      <c r="FD6" s="166"/>
      <c r="FE6" s="166"/>
      <c r="FF6" s="166"/>
      <c r="FG6" s="166"/>
      <c r="FH6" s="166"/>
      <c r="FI6" s="166"/>
      <c r="FJ6" s="166"/>
      <c r="FK6" s="166"/>
      <c r="FL6" s="166"/>
      <c r="FM6" s="166"/>
      <c r="FN6" s="166"/>
      <c r="FO6" s="166"/>
      <c r="FP6" s="166"/>
      <c r="FQ6" s="166"/>
      <c r="FR6" s="166"/>
      <c r="FS6" s="166"/>
      <c r="FT6" s="166"/>
      <c r="FU6" s="166"/>
      <c r="FV6" s="166"/>
      <c r="FW6" s="166"/>
      <c r="FX6" s="166"/>
      <c r="FY6" s="166"/>
      <c r="FZ6" s="166"/>
      <c r="GA6" s="166"/>
      <c r="GB6" s="166"/>
      <c r="GC6" s="166"/>
      <c r="GD6" s="166"/>
      <c r="GE6" s="166"/>
      <c r="GF6" s="166"/>
      <c r="GG6" s="166"/>
      <c r="GH6" s="166"/>
      <c r="GI6" s="166"/>
      <c r="GJ6" s="166"/>
      <c r="GK6" s="166"/>
      <c r="GL6" s="166"/>
      <c r="GM6" s="166"/>
      <c r="GN6" s="166"/>
      <c r="GO6" s="166"/>
      <c r="GP6" s="166"/>
      <c r="GQ6" s="166"/>
      <c r="GR6" s="166"/>
      <c r="GS6" s="166"/>
      <c r="GT6" s="166"/>
      <c r="GU6" s="166"/>
      <c r="GV6" s="166"/>
      <c r="GW6" s="166"/>
      <c r="GX6" s="166"/>
      <c r="GY6" s="166"/>
      <c r="GZ6" s="166"/>
      <c r="HA6" s="166"/>
      <c r="HB6" s="166"/>
      <c r="HC6" s="166"/>
      <c r="HD6" s="166"/>
      <c r="HE6" s="166"/>
      <c r="HF6" s="166"/>
      <c r="HG6" s="166"/>
      <c r="HH6" s="166"/>
      <c r="HI6" s="166"/>
      <c r="HJ6" s="166"/>
      <c r="HK6" s="166"/>
      <c r="HL6" s="166"/>
      <c r="HM6" s="166"/>
      <c r="HN6" s="166"/>
      <c r="HO6" s="166"/>
      <c r="HP6" s="166"/>
      <c r="HQ6" s="166"/>
      <c r="HR6" s="166"/>
      <c r="HS6" s="166"/>
      <c r="HT6" s="166"/>
      <c r="HU6" s="166"/>
      <c r="HV6" s="166"/>
      <c r="HW6" s="166"/>
      <c r="HX6" s="166"/>
      <c r="HY6" s="166"/>
      <c r="HZ6" s="166"/>
      <c r="IA6" s="166"/>
      <c r="IB6" s="166"/>
      <c r="IC6" s="166"/>
      <c r="ID6" s="166"/>
      <c r="IE6" s="166"/>
      <c r="IF6" s="166"/>
      <c r="IG6" s="166"/>
      <c r="IH6" s="166"/>
      <c r="II6" s="166"/>
      <c r="IJ6" s="166"/>
      <c r="IK6" s="166"/>
    </row>
    <row r="7" spans="1:245" s="175" customFormat="1" ht="15.75" customHeight="1" x14ac:dyDescent="0.25">
      <c r="A7" s="167" t="str">
        <f ca="1">TEXT(NOW(), "mm/dd/yyyy")</f>
        <v>01/29/2020</v>
      </c>
      <c r="B7" s="168">
        <v>319336</v>
      </c>
      <c r="C7" s="177" t="s">
        <v>54</v>
      </c>
      <c r="D7" s="65" t="s">
        <v>53</v>
      </c>
      <c r="E7" s="66">
        <v>500</v>
      </c>
      <c r="F7" s="66">
        <f>IF(D7="PT",ROUND(E7,2),IF(D7="PT/SLC",ROUND(E7*0.9,2),ROUND(E7*0.8/1.12,2)))</f>
        <v>500</v>
      </c>
      <c r="G7" s="67">
        <f t="shared" ref="G7:G16" si="0">IF(D7="PT",ROUND(F7/1.12*0.12,2), IF(D7="PT/SLC",ROUND(F7/1.12*0.12,2),0))</f>
        <v>53.57</v>
      </c>
      <c r="H7" s="68">
        <f>IF(D7="PT",ROUND(F7/1.12*0.7*0.95,2),IF(D7="PT/SLC",ROUND(F7/1.12*0.7*0.95,2),ROUND(F7*0.7*0.95,2)))</f>
        <v>296.88</v>
      </c>
      <c r="I7" s="68">
        <f>IF(D7="PT",ROUND(F7/1.12*0.7*0.05,2),IF(D7="PT/SLC",ROUND(F7/1.12*0.7*0.05,2),ROUND(F7*0.7*0.05,2)))</f>
        <v>15.63</v>
      </c>
      <c r="J7" s="67">
        <f t="shared" ref="J7:J16" si="1">IF(D7="PT",ROUND(F7/1.12*0.3,2),IF(D7="PT/SLC",ROUND(F7/1.12*0.3,2),ROUND(F7*0.3,2)))</f>
        <v>133.93</v>
      </c>
      <c r="K7" s="170">
        <f>+F7-G7-H7-I7-J7</f>
        <v>-9.9999999999909051E-3</v>
      </c>
      <c r="L7" s="171"/>
      <c r="M7" s="172">
        <v>1000</v>
      </c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4"/>
      <c r="Y7" s="174"/>
      <c r="Z7" s="174"/>
      <c r="AA7" s="174"/>
      <c r="AB7" s="174"/>
      <c r="AC7" s="174"/>
      <c r="AD7" s="174"/>
      <c r="AE7" s="174"/>
      <c r="AF7" s="174"/>
      <c r="AG7" s="174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174"/>
      <c r="BJ7" s="174"/>
      <c r="BK7" s="174"/>
      <c r="BL7" s="174"/>
      <c r="BM7" s="174"/>
      <c r="BN7" s="174"/>
      <c r="BO7" s="174"/>
      <c r="BP7" s="174"/>
      <c r="BQ7" s="174"/>
      <c r="BR7" s="174"/>
      <c r="BS7" s="174"/>
      <c r="BT7" s="174"/>
      <c r="BU7" s="174"/>
      <c r="BV7" s="174"/>
      <c r="BW7" s="174"/>
      <c r="BX7" s="174"/>
      <c r="BY7" s="174"/>
      <c r="BZ7" s="174"/>
      <c r="CA7" s="174"/>
      <c r="CB7" s="174"/>
      <c r="CC7" s="174"/>
      <c r="CD7" s="174"/>
      <c r="CE7" s="174"/>
      <c r="CF7" s="174"/>
      <c r="CG7" s="174"/>
      <c r="CH7" s="174"/>
      <c r="CI7" s="174"/>
      <c r="CJ7" s="174"/>
      <c r="CK7" s="174"/>
      <c r="CL7" s="174"/>
      <c r="CM7" s="174"/>
      <c r="CN7" s="174"/>
      <c r="CO7" s="174"/>
      <c r="CP7" s="174"/>
      <c r="CQ7" s="174"/>
      <c r="CR7" s="174"/>
      <c r="CS7" s="174"/>
      <c r="CT7" s="174"/>
      <c r="CU7" s="174"/>
      <c r="CV7" s="174"/>
      <c r="CW7" s="174"/>
      <c r="CX7" s="174"/>
      <c r="CY7" s="174"/>
      <c r="CZ7" s="174"/>
      <c r="DA7" s="174"/>
      <c r="DB7" s="174"/>
      <c r="DC7" s="174"/>
      <c r="DD7" s="174"/>
      <c r="DE7" s="174"/>
      <c r="DF7" s="174"/>
      <c r="DG7" s="174"/>
      <c r="DH7" s="174"/>
      <c r="DI7" s="174"/>
      <c r="DJ7" s="174"/>
      <c r="DK7" s="174"/>
      <c r="DL7" s="174"/>
      <c r="DM7" s="174"/>
      <c r="DN7" s="174"/>
      <c r="DO7" s="174"/>
      <c r="DP7" s="174"/>
      <c r="DQ7" s="174"/>
      <c r="DR7" s="174"/>
      <c r="DS7" s="174"/>
      <c r="DT7" s="174"/>
      <c r="DU7" s="174"/>
      <c r="DV7" s="174"/>
      <c r="DW7" s="174"/>
      <c r="DX7" s="174"/>
      <c r="DY7" s="174"/>
      <c r="DZ7" s="174"/>
      <c r="EA7" s="174"/>
      <c r="EB7" s="174"/>
      <c r="EC7" s="174"/>
      <c r="ED7" s="174"/>
      <c r="EE7" s="174"/>
      <c r="EF7" s="174"/>
      <c r="EG7" s="174"/>
      <c r="EH7" s="174"/>
      <c r="EI7" s="174"/>
      <c r="EJ7" s="174"/>
      <c r="EK7" s="174"/>
      <c r="EL7" s="174"/>
      <c r="EM7" s="174"/>
      <c r="EN7" s="174"/>
      <c r="EO7" s="174"/>
      <c r="EP7" s="174"/>
      <c r="EQ7" s="174"/>
      <c r="ER7" s="174"/>
      <c r="ES7" s="174"/>
      <c r="ET7" s="174"/>
      <c r="EU7" s="174"/>
      <c r="EV7" s="174"/>
      <c r="EW7" s="174"/>
      <c r="EX7" s="174"/>
      <c r="EY7" s="174"/>
      <c r="EZ7" s="174"/>
      <c r="FA7" s="174"/>
      <c r="FB7" s="174"/>
      <c r="FC7" s="174"/>
      <c r="FD7" s="174"/>
      <c r="FE7" s="174"/>
      <c r="FF7" s="174"/>
      <c r="FG7" s="174"/>
      <c r="FH7" s="174"/>
      <c r="FI7" s="174"/>
      <c r="FJ7" s="174"/>
      <c r="FK7" s="174"/>
      <c r="FL7" s="174"/>
      <c r="FM7" s="174"/>
      <c r="FN7" s="174"/>
      <c r="FO7" s="174"/>
      <c r="FP7" s="174"/>
      <c r="FQ7" s="174"/>
      <c r="FR7" s="174"/>
      <c r="FS7" s="174"/>
      <c r="FT7" s="174"/>
      <c r="FU7" s="174"/>
      <c r="FV7" s="174"/>
      <c r="FW7" s="174"/>
      <c r="FX7" s="174"/>
      <c r="FY7" s="174"/>
      <c r="FZ7" s="174"/>
      <c r="GA7" s="174"/>
      <c r="GB7" s="174"/>
      <c r="GC7" s="174"/>
      <c r="GD7" s="174"/>
      <c r="GE7" s="174"/>
      <c r="GF7" s="174"/>
      <c r="GG7" s="174"/>
      <c r="GH7" s="174"/>
      <c r="GI7" s="174"/>
      <c r="GJ7" s="174"/>
      <c r="GK7" s="174"/>
      <c r="GL7" s="174"/>
      <c r="GM7" s="174"/>
      <c r="GN7" s="174"/>
      <c r="GO7" s="174"/>
      <c r="GP7" s="174"/>
      <c r="GQ7" s="174"/>
      <c r="GR7" s="174"/>
      <c r="GS7" s="174"/>
      <c r="GT7" s="174"/>
      <c r="GU7" s="174"/>
      <c r="GV7" s="174"/>
      <c r="GW7" s="174"/>
      <c r="GX7" s="174"/>
      <c r="GY7" s="174"/>
      <c r="GZ7" s="174"/>
      <c r="HA7" s="174"/>
      <c r="HB7" s="174"/>
      <c r="HC7" s="174"/>
      <c r="HD7" s="174"/>
      <c r="HE7" s="174"/>
      <c r="HF7" s="174"/>
      <c r="HG7" s="174"/>
      <c r="HH7" s="174"/>
      <c r="HI7" s="174"/>
      <c r="HJ7" s="174"/>
      <c r="HK7" s="174"/>
      <c r="HL7" s="174"/>
      <c r="HM7" s="174"/>
      <c r="HN7" s="174"/>
      <c r="HO7" s="174"/>
      <c r="HP7" s="174"/>
      <c r="HQ7" s="174"/>
      <c r="HR7" s="174"/>
      <c r="HS7" s="174"/>
      <c r="HT7" s="174"/>
      <c r="HU7" s="174"/>
      <c r="HV7" s="174"/>
      <c r="HW7" s="174"/>
      <c r="HX7" s="174"/>
      <c r="HY7" s="174"/>
      <c r="HZ7" s="174"/>
      <c r="IA7" s="174"/>
      <c r="IB7" s="174"/>
      <c r="IC7" s="174"/>
      <c r="ID7" s="174"/>
      <c r="IE7" s="174"/>
      <c r="IF7" s="174"/>
      <c r="IG7" s="174"/>
      <c r="IH7" s="174"/>
      <c r="II7" s="174"/>
      <c r="IJ7" s="174"/>
      <c r="IK7" s="174"/>
    </row>
    <row r="8" spans="1:245" s="181" customFormat="1" ht="15" x14ac:dyDescent="0.25">
      <c r="A8" s="167"/>
      <c r="B8" s="176"/>
      <c r="C8" s="177"/>
      <c r="D8" s="73"/>
      <c r="E8" s="79"/>
      <c r="F8" s="66">
        <f>IF(D8="PT",ROUND(E8,2),IF(D8="PT/SLC",ROUND(E8*0.9,2),ROUND(E8*0.8/1.12,2)))</f>
        <v>0</v>
      </c>
      <c r="G8" s="67">
        <f t="shared" si="0"/>
        <v>0</v>
      </c>
      <c r="H8" s="68">
        <f t="shared" ref="H8:H16" si="2">IF(D8="PT",ROUND(F8/1.12*0.7*0.95,2),IF(D8="PT/SLC",ROUND(F8/1.12*0.7*0.95,2),ROUND(F8*0.7*0.95,2)))</f>
        <v>0</v>
      </c>
      <c r="I8" s="68">
        <f t="shared" ref="I8:I16" si="3">IF(D8="PT",ROUND(F8/1.12*0.7*0.05,2),IF(D8="PT/SLC",ROUND(F8/1.12*0.7*0.05,2),ROUND(F8*0.7*0.05,2)))</f>
        <v>0</v>
      </c>
      <c r="J8" s="67">
        <f t="shared" si="1"/>
        <v>0</v>
      </c>
      <c r="K8" s="170">
        <f>+F8-G8-H8-I8-J8</f>
        <v>0</v>
      </c>
      <c r="L8" s="170"/>
      <c r="M8" s="178"/>
      <c r="N8" s="179"/>
      <c r="O8" s="179"/>
      <c r="P8" s="179"/>
      <c r="Q8" s="179"/>
      <c r="R8" s="179"/>
      <c r="S8" s="179"/>
      <c r="T8" s="179"/>
      <c r="U8" s="179"/>
      <c r="V8" s="179"/>
      <c r="W8" s="179"/>
      <c r="X8" s="180"/>
      <c r="Y8" s="180"/>
      <c r="Z8" s="180"/>
      <c r="AA8" s="180"/>
      <c r="AB8" s="180"/>
      <c r="AC8" s="180"/>
      <c r="AD8" s="180"/>
      <c r="AE8" s="180"/>
      <c r="AF8" s="180"/>
      <c r="AG8" s="180"/>
      <c r="AH8" s="180"/>
      <c r="AI8" s="180"/>
      <c r="AJ8" s="180"/>
      <c r="AK8" s="180"/>
      <c r="AL8" s="180"/>
      <c r="AM8" s="180"/>
      <c r="AN8" s="180"/>
      <c r="AO8" s="180"/>
      <c r="AP8" s="180"/>
      <c r="AQ8" s="180"/>
      <c r="AR8" s="180"/>
      <c r="AS8" s="180"/>
      <c r="AT8" s="180"/>
      <c r="AU8" s="180"/>
      <c r="AV8" s="180"/>
      <c r="AW8" s="180"/>
      <c r="AX8" s="180"/>
      <c r="AY8" s="180"/>
      <c r="AZ8" s="180"/>
      <c r="BA8" s="180"/>
      <c r="BB8" s="180"/>
      <c r="BC8" s="180"/>
      <c r="BD8" s="180"/>
      <c r="BE8" s="180"/>
      <c r="BF8" s="180"/>
      <c r="BG8" s="180"/>
      <c r="BH8" s="180"/>
      <c r="BI8" s="180"/>
      <c r="BJ8" s="180"/>
      <c r="BK8" s="180"/>
      <c r="BL8" s="180"/>
      <c r="BM8" s="180"/>
      <c r="BN8" s="180"/>
      <c r="BO8" s="180"/>
      <c r="BP8" s="180"/>
      <c r="BQ8" s="180"/>
      <c r="BR8" s="180"/>
      <c r="BS8" s="180"/>
      <c r="BT8" s="180"/>
      <c r="BU8" s="180"/>
      <c r="BV8" s="180"/>
      <c r="BW8" s="180"/>
      <c r="BX8" s="180"/>
      <c r="BY8" s="180"/>
      <c r="BZ8" s="180"/>
      <c r="CA8" s="180"/>
      <c r="CB8" s="180"/>
      <c r="CC8" s="180"/>
      <c r="CD8" s="180"/>
      <c r="CE8" s="180"/>
      <c r="CF8" s="180"/>
      <c r="CG8" s="180"/>
      <c r="CH8" s="180"/>
      <c r="CI8" s="180"/>
      <c r="CJ8" s="180"/>
      <c r="CK8" s="180"/>
      <c r="CL8" s="180"/>
      <c r="CM8" s="180"/>
      <c r="CN8" s="180"/>
      <c r="CO8" s="180"/>
      <c r="CP8" s="180"/>
      <c r="CQ8" s="180"/>
      <c r="CR8" s="180"/>
      <c r="CS8" s="180"/>
      <c r="CT8" s="180"/>
      <c r="CU8" s="180"/>
      <c r="CV8" s="180"/>
      <c r="CW8" s="180"/>
      <c r="CX8" s="180"/>
      <c r="CY8" s="180"/>
      <c r="CZ8" s="180"/>
      <c r="DA8" s="180"/>
      <c r="DB8" s="180"/>
      <c r="DC8" s="180"/>
      <c r="DD8" s="180"/>
      <c r="DE8" s="180"/>
      <c r="DF8" s="180"/>
      <c r="DG8" s="180"/>
      <c r="DH8" s="180"/>
      <c r="DI8" s="180"/>
      <c r="DJ8" s="180"/>
      <c r="DK8" s="180"/>
      <c r="DL8" s="180"/>
      <c r="DM8" s="180"/>
      <c r="DN8" s="180"/>
      <c r="DO8" s="180"/>
      <c r="DP8" s="180"/>
      <c r="DQ8" s="180"/>
      <c r="DR8" s="180"/>
      <c r="DS8" s="180"/>
      <c r="DT8" s="180"/>
      <c r="DU8" s="180"/>
      <c r="DV8" s="180"/>
      <c r="DW8" s="180"/>
      <c r="DX8" s="180"/>
      <c r="DY8" s="180"/>
      <c r="DZ8" s="180"/>
      <c r="EA8" s="180"/>
      <c r="EB8" s="180"/>
      <c r="EC8" s="180"/>
      <c r="ED8" s="180"/>
      <c r="EE8" s="180"/>
      <c r="EF8" s="180"/>
      <c r="EG8" s="180"/>
      <c r="EH8" s="180"/>
      <c r="EI8" s="180"/>
      <c r="EJ8" s="180"/>
      <c r="EK8" s="180"/>
      <c r="EL8" s="180"/>
      <c r="EM8" s="180"/>
      <c r="EN8" s="180"/>
      <c r="EO8" s="180"/>
      <c r="EP8" s="180"/>
      <c r="EQ8" s="180"/>
      <c r="ER8" s="180"/>
      <c r="ES8" s="180"/>
      <c r="ET8" s="180"/>
      <c r="EU8" s="180"/>
      <c r="EV8" s="180"/>
      <c r="EW8" s="180"/>
      <c r="EX8" s="180"/>
      <c r="EY8" s="180"/>
      <c r="EZ8" s="180"/>
      <c r="FA8" s="180"/>
      <c r="FB8" s="180"/>
      <c r="FC8" s="180"/>
      <c r="FD8" s="180"/>
      <c r="FE8" s="180"/>
      <c r="FF8" s="180"/>
      <c r="FG8" s="180"/>
      <c r="FH8" s="180"/>
      <c r="FI8" s="180"/>
      <c r="FJ8" s="180"/>
      <c r="FK8" s="180"/>
      <c r="FL8" s="180"/>
      <c r="FM8" s="180"/>
      <c r="FN8" s="180"/>
      <c r="FO8" s="180"/>
      <c r="FP8" s="180"/>
      <c r="FQ8" s="180"/>
      <c r="FR8" s="180"/>
      <c r="FS8" s="180"/>
      <c r="FT8" s="180"/>
      <c r="FU8" s="180"/>
      <c r="FV8" s="180"/>
      <c r="FW8" s="180"/>
      <c r="FX8" s="180"/>
      <c r="FY8" s="180"/>
      <c r="FZ8" s="180"/>
      <c r="GA8" s="180"/>
      <c r="GB8" s="180"/>
      <c r="GC8" s="180"/>
      <c r="GD8" s="180"/>
      <c r="GE8" s="180"/>
      <c r="GF8" s="180"/>
      <c r="GG8" s="180"/>
      <c r="GH8" s="180"/>
      <c r="GI8" s="180"/>
      <c r="GJ8" s="180"/>
      <c r="GK8" s="180"/>
      <c r="GL8" s="180"/>
      <c r="GM8" s="180"/>
      <c r="GN8" s="180"/>
      <c r="GO8" s="180"/>
      <c r="GP8" s="180"/>
      <c r="GQ8" s="180"/>
      <c r="GR8" s="180"/>
      <c r="GS8" s="180"/>
      <c r="GT8" s="180"/>
      <c r="GU8" s="180"/>
      <c r="GV8" s="180"/>
      <c r="GW8" s="180"/>
      <c r="GX8" s="180"/>
      <c r="GY8" s="180"/>
      <c r="GZ8" s="180"/>
      <c r="HA8" s="180"/>
      <c r="HB8" s="180"/>
      <c r="HC8" s="180"/>
      <c r="HD8" s="180"/>
      <c r="HE8" s="180"/>
      <c r="HF8" s="180"/>
      <c r="HG8" s="180"/>
      <c r="HH8" s="180"/>
      <c r="HI8" s="180"/>
      <c r="HJ8" s="180"/>
      <c r="HK8" s="180"/>
      <c r="HL8" s="180"/>
      <c r="HM8" s="180"/>
      <c r="HN8" s="180"/>
      <c r="HO8" s="180"/>
      <c r="HP8" s="180"/>
      <c r="HQ8" s="180"/>
      <c r="HR8" s="180"/>
      <c r="HS8" s="180"/>
      <c r="HT8" s="180"/>
      <c r="HU8" s="180"/>
      <c r="HV8" s="180"/>
      <c r="HW8" s="180"/>
      <c r="HX8" s="180"/>
      <c r="HY8" s="180"/>
      <c r="HZ8" s="180"/>
      <c r="IA8" s="180"/>
      <c r="IB8" s="180"/>
      <c r="IC8" s="180"/>
      <c r="ID8" s="180"/>
      <c r="IE8" s="180"/>
      <c r="IF8" s="180"/>
      <c r="IG8" s="180"/>
      <c r="IH8" s="180"/>
      <c r="II8" s="180"/>
      <c r="IJ8" s="180"/>
      <c r="IK8" s="180"/>
    </row>
    <row r="9" spans="1:245" ht="15" customHeight="1" x14ac:dyDescent="0.25">
      <c r="A9" s="167"/>
      <c r="B9" s="168"/>
      <c r="C9" s="177"/>
      <c r="D9" s="65"/>
      <c r="E9" s="66"/>
      <c r="F9" s="66">
        <f>IF(D9="PT",ROUND(E9,2),IF(D9="PT/SLC",ROUND(E9*0.9,2),ROUND(E9*0.8/1.12,2)))</f>
        <v>0</v>
      </c>
      <c r="G9" s="67">
        <f t="shared" si="0"/>
        <v>0</v>
      </c>
      <c r="H9" s="68">
        <f t="shared" si="2"/>
        <v>0</v>
      </c>
      <c r="I9" s="68">
        <f t="shared" si="3"/>
        <v>0</v>
      </c>
      <c r="J9" s="67">
        <f t="shared" si="1"/>
        <v>0</v>
      </c>
      <c r="K9" s="170">
        <f>+F9-G9-H9-I9-J9</f>
        <v>0</v>
      </c>
      <c r="L9" s="171"/>
      <c r="M9" s="172"/>
      <c r="N9" s="150"/>
      <c r="O9" s="150"/>
      <c r="P9" s="150"/>
      <c r="Q9" s="150"/>
      <c r="R9" s="150"/>
      <c r="S9" s="150"/>
      <c r="T9" s="150"/>
      <c r="U9" s="150"/>
      <c r="V9" s="150"/>
      <c r="W9" s="150"/>
    </row>
    <row r="10" spans="1:245" ht="14.25" customHeight="1" x14ac:dyDescent="0.25">
      <c r="A10" s="169"/>
      <c r="B10" s="168"/>
      <c r="C10" s="177"/>
      <c r="D10" s="65"/>
      <c r="E10" s="66"/>
      <c r="F10" s="66">
        <f t="shared" ref="F10:F16" si="4">IF(D10="PT",ROUND(E10,2),IF(D10="PT/SLC",ROUND(E10*0.9,2),ROUND(E10*0.8/1.12,2)))</f>
        <v>0</v>
      </c>
      <c r="G10" s="67">
        <f t="shared" si="0"/>
        <v>0</v>
      </c>
      <c r="H10" s="68">
        <f t="shared" si="2"/>
        <v>0</v>
      </c>
      <c r="I10" s="68">
        <f t="shared" si="3"/>
        <v>0</v>
      </c>
      <c r="J10" s="67">
        <f t="shared" si="1"/>
        <v>0</v>
      </c>
      <c r="K10" s="170">
        <f>+F10-G10-H10-I10-J10</f>
        <v>0</v>
      </c>
      <c r="L10" s="183"/>
      <c r="M10" s="172"/>
      <c r="N10" s="150"/>
      <c r="O10" s="150"/>
      <c r="P10" s="150"/>
      <c r="Q10" s="150"/>
      <c r="R10" s="150"/>
      <c r="S10" s="150"/>
      <c r="T10" s="150"/>
      <c r="U10" s="150"/>
      <c r="V10" s="150"/>
      <c r="W10" s="150"/>
    </row>
    <row r="11" spans="1:245" ht="15.75" customHeight="1" x14ac:dyDescent="0.25">
      <c r="A11" s="169"/>
      <c r="B11" s="168"/>
      <c r="C11" s="177"/>
      <c r="D11" s="65"/>
      <c r="E11" s="66"/>
      <c r="F11" s="66">
        <f t="shared" si="4"/>
        <v>0</v>
      </c>
      <c r="G11" s="67">
        <f t="shared" si="0"/>
        <v>0</v>
      </c>
      <c r="H11" s="68">
        <f t="shared" si="2"/>
        <v>0</v>
      </c>
      <c r="I11" s="68">
        <f t="shared" si="3"/>
        <v>0</v>
      </c>
      <c r="J11" s="67">
        <f t="shared" si="1"/>
        <v>0</v>
      </c>
      <c r="K11" s="170">
        <f t="shared" ref="K11:K16" si="5">+F11-G11-H11-I11-J11</f>
        <v>0</v>
      </c>
      <c r="L11" s="183"/>
      <c r="M11" s="172"/>
      <c r="N11" s="150"/>
      <c r="O11" s="150"/>
      <c r="P11" s="150"/>
      <c r="Q11" s="150"/>
      <c r="R11" s="150"/>
      <c r="S11" s="150"/>
      <c r="T11" s="150"/>
      <c r="U11" s="150"/>
      <c r="V11" s="150"/>
      <c r="W11" s="150"/>
    </row>
    <row r="12" spans="1:245" ht="15" customHeight="1" x14ac:dyDescent="0.25">
      <c r="A12" s="169"/>
      <c r="B12" s="176"/>
      <c r="C12" s="169"/>
      <c r="D12" s="73"/>
      <c r="E12" s="73"/>
      <c r="F12" s="66">
        <f t="shared" si="4"/>
        <v>0</v>
      </c>
      <c r="G12" s="67">
        <f t="shared" si="0"/>
        <v>0</v>
      </c>
      <c r="H12" s="68">
        <f t="shared" si="2"/>
        <v>0</v>
      </c>
      <c r="I12" s="68">
        <f t="shared" si="3"/>
        <v>0</v>
      </c>
      <c r="J12" s="67">
        <f t="shared" si="1"/>
        <v>0</v>
      </c>
      <c r="K12" s="170">
        <f t="shared" si="5"/>
        <v>0</v>
      </c>
      <c r="L12" s="183"/>
      <c r="M12" s="184"/>
      <c r="N12" s="150"/>
      <c r="O12" s="150"/>
      <c r="P12" s="150"/>
      <c r="Q12" s="150"/>
      <c r="R12" s="150"/>
      <c r="S12" s="150"/>
      <c r="T12" s="150"/>
      <c r="U12" s="150"/>
      <c r="V12" s="150"/>
      <c r="W12" s="150"/>
    </row>
    <row r="13" spans="1:245" ht="15" x14ac:dyDescent="0.25">
      <c r="A13" s="169"/>
      <c r="B13" s="176"/>
      <c r="C13" s="177"/>
      <c r="D13" s="73"/>
      <c r="E13" s="73"/>
      <c r="F13" s="66">
        <f t="shared" si="4"/>
        <v>0</v>
      </c>
      <c r="G13" s="67">
        <f t="shared" si="0"/>
        <v>0</v>
      </c>
      <c r="H13" s="68">
        <f t="shared" si="2"/>
        <v>0</v>
      </c>
      <c r="I13" s="68">
        <f t="shared" si="3"/>
        <v>0</v>
      </c>
      <c r="J13" s="67">
        <f t="shared" si="1"/>
        <v>0</v>
      </c>
      <c r="K13" s="170">
        <f t="shared" si="5"/>
        <v>0</v>
      </c>
      <c r="L13" s="183"/>
      <c r="M13" s="184"/>
      <c r="N13" s="150"/>
      <c r="O13" s="150"/>
      <c r="P13" s="150"/>
      <c r="Q13" s="150"/>
      <c r="R13" s="150"/>
      <c r="S13" s="150"/>
      <c r="T13" s="150"/>
      <c r="U13" s="150"/>
      <c r="V13" s="150"/>
      <c r="W13" s="150"/>
    </row>
    <row r="14" spans="1:245" ht="15" x14ac:dyDescent="0.25">
      <c r="A14" s="169"/>
      <c r="B14" s="169"/>
      <c r="C14" s="169"/>
      <c r="D14" s="73"/>
      <c r="E14" s="73"/>
      <c r="F14" s="66">
        <f t="shared" si="4"/>
        <v>0</v>
      </c>
      <c r="G14" s="67">
        <f t="shared" si="0"/>
        <v>0</v>
      </c>
      <c r="H14" s="68">
        <f t="shared" si="2"/>
        <v>0</v>
      </c>
      <c r="I14" s="68">
        <f t="shared" si="3"/>
        <v>0</v>
      </c>
      <c r="J14" s="67">
        <f t="shared" si="1"/>
        <v>0</v>
      </c>
      <c r="K14" s="170">
        <f t="shared" si="5"/>
        <v>0</v>
      </c>
      <c r="L14" s="185"/>
      <c r="M14" s="184"/>
      <c r="N14" s="150"/>
      <c r="O14" s="150"/>
      <c r="P14" s="150"/>
      <c r="Q14" s="150"/>
      <c r="R14" s="150"/>
      <c r="S14" s="150"/>
      <c r="T14" s="150"/>
      <c r="U14" s="150"/>
      <c r="V14" s="150"/>
      <c r="W14" s="150"/>
    </row>
    <row r="15" spans="1:245" ht="15" x14ac:dyDescent="0.25">
      <c r="A15" s="186"/>
      <c r="B15" s="169"/>
      <c r="C15" s="169"/>
      <c r="D15" s="73"/>
      <c r="E15" s="73"/>
      <c r="F15" s="66">
        <f t="shared" si="4"/>
        <v>0</v>
      </c>
      <c r="G15" s="67">
        <f t="shared" si="0"/>
        <v>0</v>
      </c>
      <c r="H15" s="68">
        <f t="shared" si="2"/>
        <v>0</v>
      </c>
      <c r="I15" s="68">
        <f t="shared" si="3"/>
        <v>0</v>
      </c>
      <c r="J15" s="67">
        <f t="shared" si="1"/>
        <v>0</v>
      </c>
      <c r="K15" s="170">
        <f t="shared" si="5"/>
        <v>0</v>
      </c>
      <c r="L15" s="183"/>
      <c r="M15" s="184"/>
      <c r="N15" s="150"/>
      <c r="O15" s="150"/>
      <c r="P15" s="150"/>
      <c r="Q15" s="150"/>
      <c r="R15" s="150"/>
      <c r="S15" s="150"/>
      <c r="T15" s="150"/>
      <c r="U15" s="150"/>
      <c r="V15" s="150"/>
      <c r="W15" s="150"/>
    </row>
    <row r="16" spans="1:245" ht="15" x14ac:dyDescent="0.25">
      <c r="A16" s="186"/>
      <c r="B16" s="176"/>
      <c r="C16" s="169"/>
      <c r="D16" s="73"/>
      <c r="E16" s="73"/>
      <c r="F16" s="66">
        <f t="shared" si="4"/>
        <v>0</v>
      </c>
      <c r="G16" s="67">
        <f t="shared" si="0"/>
        <v>0</v>
      </c>
      <c r="H16" s="68">
        <f t="shared" si="2"/>
        <v>0</v>
      </c>
      <c r="I16" s="68">
        <f t="shared" si="3"/>
        <v>0</v>
      </c>
      <c r="J16" s="67">
        <f t="shared" si="1"/>
        <v>0</v>
      </c>
      <c r="K16" s="170">
        <f t="shared" si="5"/>
        <v>0</v>
      </c>
      <c r="L16" s="183"/>
      <c r="M16" s="184"/>
      <c r="N16" s="150"/>
      <c r="O16" s="150"/>
      <c r="P16" s="150"/>
      <c r="Q16" s="150"/>
      <c r="R16" s="150"/>
      <c r="S16" s="150"/>
      <c r="T16" s="150"/>
      <c r="U16" s="150"/>
      <c r="V16" s="150"/>
      <c r="W16" s="150"/>
    </row>
    <row r="17" spans="1:23" ht="15" x14ac:dyDescent="0.25">
      <c r="A17" s="186"/>
      <c r="B17" s="186"/>
      <c r="C17" s="186"/>
      <c r="D17" s="186"/>
      <c r="E17" s="186"/>
      <c r="F17" s="187"/>
      <c r="G17" s="187"/>
      <c r="H17" s="188">
        <f>SUM(H7:H16)</f>
        <v>296.88</v>
      </c>
      <c r="I17" s="187"/>
      <c r="J17" s="187"/>
      <c r="K17" s="187"/>
      <c r="L17" s="186"/>
      <c r="M17" s="150"/>
      <c r="N17" s="150"/>
      <c r="O17" s="150"/>
      <c r="P17" s="150"/>
      <c r="Q17" s="150"/>
      <c r="R17" s="150"/>
      <c r="S17" s="150"/>
      <c r="T17" s="150"/>
      <c r="U17" s="150"/>
      <c r="V17" s="150"/>
      <c r="W17" s="150"/>
    </row>
    <row r="34" spans="1:10" x14ac:dyDescent="0.2">
      <c r="A34" s="189"/>
      <c r="B34" s="189"/>
      <c r="C34" s="190"/>
      <c r="D34" s="189"/>
      <c r="E34" s="189"/>
      <c r="F34" s="189"/>
      <c r="G34" s="189"/>
      <c r="H34" s="189"/>
      <c r="I34" s="189"/>
      <c r="J34" s="189"/>
    </row>
  </sheetData>
  <sheetProtection sheet="1" objects="1" scenarios="1" formatCells="0"/>
  <protectedRanges>
    <protectedRange sqref="A4 L7:N16 B7:E16" name="Edited Cells"/>
  </protectedRanges>
  <mergeCells count="8">
    <mergeCell ref="M5:M6"/>
    <mergeCell ref="N5:N6"/>
    <mergeCell ref="A5:A6"/>
    <mergeCell ref="B5:B6"/>
    <mergeCell ref="C5:C6"/>
    <mergeCell ref="D5:D6"/>
    <mergeCell ref="E5:E6"/>
    <mergeCell ref="L5:L6"/>
  </mergeCells>
  <printOptions gridLines="1"/>
  <pageMargins left="0.2" right="0.2" top="0.75" bottom="0.75" header="0.3" footer="0.3"/>
  <pageSetup scale="80" orientation="landscape" horizontalDpi="120" verticalDpi="7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Consultation Template</vt:lpstr>
      <vt:lpstr>PT Treatment Template</vt:lpstr>
      <vt:lpstr>OR Template</vt:lpstr>
      <vt:lpstr>0129 Name CONSULT</vt:lpstr>
      <vt:lpstr>0129 Name PT</vt:lpstr>
      <vt:lpstr>Export0329 RHEA PT</vt:lpstr>
      <vt:lpstr>'0129 Name CONSULT'!Print_Area</vt:lpstr>
      <vt:lpstr>'0129 Name PT'!Print_Area</vt:lpstr>
    </vt:vector>
  </TitlesOfParts>
  <Company>STA.LUCIA HEALTH CARE CENTER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USBONG MOSC SLHCC</dc:creator>
  <cp:lastModifiedBy>Windows User</cp:lastModifiedBy>
  <cp:lastPrinted>2019-06-13T04:44:49Z</cp:lastPrinted>
  <dcterms:created xsi:type="dcterms:W3CDTF">2004-06-26T00:03:39Z</dcterms:created>
  <dcterms:modified xsi:type="dcterms:W3CDTF">2020-01-29T04:37:56Z</dcterms:modified>
</cp:coreProperties>
</file>