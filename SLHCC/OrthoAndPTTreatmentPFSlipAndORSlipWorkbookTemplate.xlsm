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media/image19.png" ContentType="image/png"/>
  <Override PartName="/xl/media/image20.png" ContentType="image/p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onsultation Template" sheetId="1" state="visible" r:id="rId3"/>
    <sheet name="PT Treatment Template" sheetId="2" state="visible" r:id="rId4"/>
    <sheet name="OR Template" sheetId="3" state="visible" r:id="rId5"/>
    <sheet name="MIKE CONSULT" sheetId="4" state="visible" r:id="rId6"/>
    <sheet name="MIKE PT" sheetId="5" state="visible" r:id="rId7"/>
    <sheet name="Export0329 RHEA PT" sheetId="6" state="hidden" r:id="rId8"/>
  </sheets>
  <definedNames>
    <definedName function="false" hidden="false" localSheetId="3" name="_xlnm.Print_Area" vbProcedure="false">'MIKE CONSULT'!$A$1:$L$8</definedName>
    <definedName function="false" hidden="false" localSheetId="4" name="_xlnm.Print_Area" vbProcedure="false">'MIKE PT'!$A$1:$L$8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<sst xmlns="http://schemas.openxmlformats.org/spreadsheetml/2006/main" count="91" uniqueCount="49">
  <si>
    <t xml:space="preserve">PF DISTRIBUTION</t>
  </si>
  <si>
    <t xml:space="preserve">MD'S NAME : </t>
  </si>
  <si>
    <t xml:space="preserve">DR. SYSON, PEDRO ANG</t>
  </si>
  <si>
    <t xml:space="preserve"> </t>
  </si>
  <si>
    <t xml:space="preserve">DATE</t>
  </si>
  <si>
    <t xml:space="preserve">OR NO.</t>
  </si>
  <si>
    <t xml:space="preserve">PATIENT NAME </t>
  </si>
  <si>
    <t xml:space="preserve">PARTICULARS</t>
  </si>
  <si>
    <t xml:space="preserve">AMOUNT</t>
  </si>
  <si>
    <t xml:space="preserve">VAT - OT</t>
  </si>
  <si>
    <t xml:space="preserve">PF</t>
  </si>
  <si>
    <t xml:space="preserve">EWT</t>
  </si>
  <si>
    <t xml:space="preserve">M. SHARE</t>
  </si>
  <si>
    <t xml:space="preserve">TOTAL</t>
  </si>
  <si>
    <t xml:space="preserve">Received by:</t>
  </si>
  <si>
    <t xml:space="preserve">__________________</t>
  </si>
  <si>
    <t xml:space="preserve">Released by:</t>
  </si>
  <si>
    <t xml:space="preserve">Date: _____________</t>
  </si>
  <si>
    <t xml:space="preserve">Checked by: ____________</t>
  </si>
  <si>
    <t xml:space="preserve"> NAME : </t>
  </si>
  <si>
    <t xml:space="preserve">ORTHO &amp; PT UNIT</t>
  </si>
  <si>
    <t xml:space="preserve">WI PRICE</t>
  </si>
  <si>
    <t xml:space="preserve">DISCOUNTED</t>
  </si>
  <si>
    <t xml:space="preserve">SYSON, PEDRO ANG</t>
  </si>
  <si>
    <t xml:space="preserve">BANK NAME:</t>
  </si>
  <si>
    <t xml:space="preserve">CHECK NO.:</t>
  </si>
  <si>
    <t xml:space="preserve">CHECK DATE:</t>
  </si>
  <si>
    <t xml:space="preserve">CASH/CHARGE:</t>
  </si>
  <si>
    <t xml:space="preserve">CHANGE DUE:</t>
  </si>
  <si>
    <t xml:space="preserve">USBONG SOCIAL SYSTEMS, INC.</t>
  </si>
  <si>
    <t xml:space="preserve">PAYMENT TRANSACTIONS COLLECTED</t>
  </si>
  <si>
    <t xml:space="preserve">SYSON, MICHAEL B.</t>
  </si>
  <si>
    <t xml:space="preserve">OR/PR NO.</t>
  </si>
  <si>
    <t xml:space="preserve">PATIENT NAME</t>
  </si>
  <si>
    <t xml:space="preserve">REHAB</t>
  </si>
  <si>
    <t xml:space="preserve">MGT</t>
  </si>
  <si>
    <t xml:space="preserve">OSCA/PWD/
Other ID No:</t>
  </si>
  <si>
    <t xml:space="preserve">CASH PAID</t>
  </si>
  <si>
    <t xml:space="preserve">NOTES</t>
  </si>
  <si>
    <t xml:space="preserve">PAID</t>
  </si>
  <si>
    <t xml:space="preserve">VAT</t>
  </si>
  <si>
    <t xml:space="preserve">SHARE (70%)</t>
  </si>
  <si>
    <t xml:space="preserve">SHARE (30%)</t>
  </si>
  <si>
    <t xml:space="preserve">BALANCER</t>
  </si>
  <si>
    <t xml:space="preserve">BERGSTEIN, AKI</t>
  </si>
  <si>
    <t xml:space="preserve">CONSULT</t>
  </si>
  <si>
    <t xml:space="preserve">DELA PAZ, MIGUEL</t>
  </si>
  <si>
    <t xml:space="preserve">PT/SC</t>
  </si>
  <si>
    <t xml:space="preserve">SC#12345 STO. NIÑO, MARIKINA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</si>
</sst>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_(* #,##0.00_);_(* \(#,##0.00\);_(* \-??_);_(@_)"/>
    <numFmt numFmtId="166" formatCode="[$-409]M/D/YYYY"/>
    <numFmt numFmtId="167" formatCode="DDDD&quot;, &quot;MMM\ DD&quot;, &quot;YYYY"/>
    <numFmt numFmtId="168" formatCode="#,##0.00"/>
    <numFmt numFmtId="169" formatCode="[$-409]MMMM\ D&quot;, &quot;YYYY;@"/>
    <numFmt numFmtId="170" formatCode="[$-409]D\-MMM\-YY"/>
    <numFmt numFmtId="171" formatCode="0"/>
  </numFmts>
  <fonts count="6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rgb="FF800080"/>
      <name val="Calibri"/>
      <family val="2"/>
      <charset val="1"/>
    </font>
    <font>
      <b val="true"/>
      <sz val="11"/>
      <color rgb="FFFF99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i val="true"/>
      <sz val="11"/>
      <color rgb="FF808080"/>
      <name val="Calibri"/>
      <family val="2"/>
      <charset val="1"/>
    </font>
    <font>
      <sz val="11"/>
      <color rgb="FF008000"/>
      <name val="Calibri"/>
      <family val="2"/>
      <charset val="1"/>
    </font>
    <font>
      <b val="true"/>
      <sz val="15"/>
      <color rgb="FF003366"/>
      <name val="Calibri"/>
      <family val="2"/>
      <charset val="1"/>
    </font>
    <font>
      <b val="true"/>
      <sz val="13"/>
      <color rgb="FF003366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sz val="11"/>
      <color rgb="FF333399"/>
      <name val="Calibri"/>
      <family val="2"/>
      <charset val="1"/>
    </font>
    <font>
      <sz val="11"/>
      <color rgb="FFFF9900"/>
      <name val="Calibri"/>
      <family val="2"/>
      <charset val="1"/>
    </font>
    <font>
      <sz val="11"/>
      <color rgb="FF993300"/>
      <name val="Calibri"/>
      <family val="2"/>
      <charset val="1"/>
    </font>
    <font>
      <sz val="10"/>
      <name val="Arial"/>
      <family val="2"/>
      <charset val="1"/>
    </font>
    <font>
      <sz val="9"/>
      <name val="Arial"/>
      <family val="2"/>
      <charset val="1"/>
    </font>
    <font>
      <b val="true"/>
      <sz val="11"/>
      <color rgb="FF333333"/>
      <name val="Calibri"/>
      <family val="2"/>
      <charset val="1"/>
    </font>
    <font>
      <b val="true"/>
      <sz val="18"/>
      <color rgb="FF003366"/>
      <name val="Cambria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name val="Arial"/>
      <family val="2"/>
      <charset val="1"/>
    </font>
    <font>
      <b val="true"/>
      <sz val="11"/>
      <name val="Franklin Gothic Medium"/>
      <family val="2"/>
      <charset val="1"/>
    </font>
    <font>
      <b val="true"/>
      <sz val="14"/>
      <name val="Arial"/>
      <family val="2"/>
      <charset val="1"/>
    </font>
    <font>
      <b val="true"/>
      <sz val="11"/>
      <name val="Arial"/>
      <family val="2"/>
      <charset val="1"/>
    </font>
    <font>
      <b val="true"/>
      <sz val="13"/>
      <name val="Arial"/>
      <family val="2"/>
      <charset val="1"/>
    </font>
    <font>
      <b val="true"/>
      <sz val="9"/>
      <name val="Arial"/>
      <family val="2"/>
      <charset val="1"/>
    </font>
    <font>
      <b val="true"/>
      <sz val="8"/>
      <name val="Arial"/>
      <family val="2"/>
      <charset val="1"/>
    </font>
    <font>
      <sz val="14"/>
      <name val="Arial"/>
      <family val="2"/>
      <charset val="1"/>
    </font>
    <font>
      <sz val="13"/>
      <name val="Arial"/>
      <family val="2"/>
      <charset val="1"/>
    </font>
    <font>
      <sz val="14"/>
      <name val="Arial Narrow"/>
      <family val="2"/>
      <charset val="1"/>
    </font>
    <font>
      <sz val="12"/>
      <name val="Arial"/>
      <family val="2"/>
      <charset val="1"/>
    </font>
    <font>
      <sz val="8"/>
      <name val="Franklin Gothic Medium"/>
      <family val="2"/>
      <charset val="1"/>
    </font>
    <font>
      <b val="true"/>
      <sz val="14"/>
      <name val="Franklin Gothic Medium"/>
      <family val="2"/>
      <charset val="1"/>
    </font>
    <font>
      <b val="true"/>
      <sz val="15"/>
      <color rgb="FFFF0000"/>
      <name val="Times New Roman"/>
      <family val="1"/>
      <charset val="1"/>
    </font>
    <font>
      <sz val="9"/>
      <color rgb="FF254061"/>
      <name val="Franklin Gothic Medium"/>
      <family val="2"/>
      <charset val="1"/>
    </font>
    <font>
      <b val="true"/>
      <sz val="10"/>
      <name val="Franklin Gothic Medium"/>
      <family val="2"/>
      <charset val="1"/>
    </font>
    <font>
      <sz val="10"/>
      <color rgb="FF254061"/>
      <name val="Franklin Gothic Medium"/>
      <family val="2"/>
      <charset val="1"/>
    </font>
    <font>
      <sz val="9"/>
      <name val="Franklin Gothic Medium"/>
      <family val="2"/>
      <charset val="1"/>
    </font>
    <font>
      <sz val="10"/>
      <name val="Franklin Gothic Medium"/>
      <family val="2"/>
      <charset val="1"/>
    </font>
    <font>
      <sz val="10"/>
      <color rgb="FF254061"/>
      <name val="Franklin Gothic Book"/>
      <family val="2"/>
      <charset val="1"/>
    </font>
    <font>
      <sz val="8"/>
      <color rgb="FF254061"/>
      <name val="Franklin Gothic Medium"/>
      <family val="2"/>
      <charset val="1"/>
    </font>
    <font>
      <sz val="9"/>
      <color rgb="FF254061"/>
      <name val="Arial"/>
      <family val="2"/>
      <charset val="1"/>
    </font>
    <font>
      <sz val="8"/>
      <color rgb="FF254061"/>
      <name val="Arial"/>
      <family val="2"/>
      <charset val="1"/>
    </font>
    <font>
      <sz val="10"/>
      <color rgb="FF254061"/>
      <name val="Arial"/>
      <family val="2"/>
      <charset val="1"/>
    </font>
    <font>
      <b val="true"/>
      <sz val="9"/>
      <name val="Franklin Gothic Medium"/>
      <family val="2"/>
      <charset val="1"/>
    </font>
    <font>
      <sz val="8"/>
      <name val="Arial"/>
      <family val="2"/>
      <charset val="1"/>
    </font>
    <font>
      <sz val="7"/>
      <name val="Franklin Gothic Medium"/>
      <family val="2"/>
      <charset val="1"/>
    </font>
    <font>
      <b val="true"/>
      <sz val="7"/>
      <name val="Franklin Gothic Medium"/>
      <family val="2"/>
      <charset val="1"/>
    </font>
    <font>
      <b val="true"/>
      <sz val="8"/>
      <color rgb="FF0000FF"/>
      <name val="Franklin Gothic Medium"/>
      <family val="2"/>
      <charset val="1"/>
    </font>
    <font>
      <u val="single"/>
      <sz val="8"/>
      <name val="Franklin Gothic Medium"/>
      <family val="2"/>
      <charset val="1"/>
    </font>
    <font>
      <sz val="6"/>
      <name val="Franklin Gothic Medium"/>
      <family val="2"/>
      <charset val="1"/>
    </font>
    <font>
      <b val="true"/>
      <sz val="10"/>
      <name val="Arial"/>
      <family val="2"/>
      <charset val="1"/>
    </font>
    <font>
      <u val="single"/>
      <sz val="7"/>
      <name val="Franklin Gothic Medium"/>
      <family val="2"/>
      <charset val="1"/>
    </font>
    <font>
      <sz val="10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  <font>
      <b val="true"/>
      <sz val="10"/>
      <name val="Calibri"/>
      <family val="2"/>
      <charset val="1"/>
    </font>
    <font>
      <b val="true"/>
      <u val="single"/>
      <sz val="11"/>
      <name val="Calibri"/>
      <family val="2"/>
      <charset val="1"/>
    </font>
    <font>
      <sz val="9"/>
      <name val="Calibri"/>
      <family val="2"/>
      <charset val="1"/>
    </font>
    <font>
      <sz val="11"/>
      <color rgb="FF953735"/>
      <name val="Calibri"/>
      <family val="2"/>
      <charset val="1"/>
    </font>
    <font>
      <sz val="10"/>
      <color rgb="FF953735"/>
      <name val="Calibri"/>
      <family val="2"/>
      <charset val="1"/>
    </font>
    <font>
      <sz val="14"/>
      <color rgb="FF953735"/>
      <name val="Arial"/>
      <family val="2"/>
      <charset val="1"/>
    </font>
    <font>
      <sz val="10"/>
      <color rgb="FF953735"/>
      <name val="Arial"/>
      <family val="2"/>
      <charset val="1"/>
    </font>
  </fonts>
  <fills count="26">
    <fill>
      <patternFill patternType="none"/>
    </fill>
    <fill>
      <patternFill patternType="gray125"/>
    </fill>
    <fill>
      <patternFill patternType="solid">
        <fgColor rgb="FFCCCCFF"/>
        <bgColor rgb="FFC0C0C0"/>
      </patternFill>
    </fill>
    <fill>
      <patternFill patternType="solid">
        <fgColor rgb="FFFF99CC"/>
        <bgColor rgb="FFFF8080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FF99CC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C0C0C0"/>
      </patternFill>
    </fill>
    <fill>
      <patternFill patternType="solid">
        <fgColor rgb="FF99CCFF"/>
        <bgColor rgb="FF95B3D7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B0F0"/>
      </patternFill>
    </fill>
    <fill>
      <patternFill patternType="solid">
        <fgColor rgb="FFFF9900"/>
        <bgColor rgb="FFFFCC00"/>
      </patternFill>
    </fill>
    <fill>
      <patternFill patternType="solid">
        <fgColor rgb="FF333399"/>
        <bgColor rgb="FF254061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FFFF99"/>
        <bgColor rgb="FFFFFFCC"/>
      </patternFill>
    </fill>
    <fill>
      <patternFill patternType="solid">
        <fgColor rgb="FFFFFFCC"/>
        <bgColor rgb="FFFFFFFF"/>
      </patternFill>
    </fill>
    <fill>
      <patternFill patternType="solid">
        <fgColor rgb="FF95B3D7"/>
        <bgColor rgb="FF99CCFF"/>
      </patternFill>
    </fill>
    <fill>
      <patternFill patternType="solid">
        <fgColor rgb="FFFFFF00"/>
        <bgColor rgb="FFFFFF00"/>
      </patternFill>
    </fill>
  </fills>
  <borders count="28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 style="thin">
        <color rgb="FF333399"/>
      </top>
      <bottom style="double">
        <color rgb="FF333399"/>
      </bottom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double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15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12" borderId="0" applyFont="true" applyBorder="false" applyAlignment="true" applyProtection="false">
      <alignment horizontal="general" vertical="bottom" textRotation="0" wrapText="false" indent="0" shrinkToFit="false"/>
    </xf>
    <xf numFmtId="164" fontId="5" fillId="12" borderId="0" applyFont="true" applyBorder="false" applyAlignment="true" applyProtection="false">
      <alignment horizontal="general" vertical="bottom" textRotation="0" wrapText="false" indent="0" shrinkToFit="false"/>
    </xf>
    <xf numFmtId="164" fontId="5" fillId="9" borderId="0" applyFont="true" applyBorder="false" applyAlignment="true" applyProtection="false">
      <alignment horizontal="general" vertical="bottom" textRotation="0" wrapText="false" indent="0" shrinkToFit="false"/>
    </xf>
    <xf numFmtId="164" fontId="5" fillId="9" borderId="0" applyFont="true" applyBorder="false" applyAlignment="true" applyProtection="false">
      <alignment horizontal="general" vertical="bottom" textRotation="0" wrapText="false" indent="0" shrinkToFit="false"/>
    </xf>
    <xf numFmtId="164" fontId="5" fillId="10" borderId="0" applyFont="true" applyBorder="false" applyAlignment="true" applyProtection="false">
      <alignment horizontal="general" vertical="bottom" textRotation="0" wrapText="false" indent="0" shrinkToFit="false"/>
    </xf>
    <xf numFmtId="164" fontId="5" fillId="10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5" borderId="0" applyFont="true" applyBorder="false" applyAlignment="true" applyProtection="false">
      <alignment horizontal="general" vertical="bottom" textRotation="0" wrapText="false" indent="0" shrinkToFit="false"/>
    </xf>
    <xf numFmtId="164" fontId="5" fillId="15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6" fillId="3" borderId="0" applyFont="true" applyBorder="false" applyAlignment="true" applyProtection="false">
      <alignment horizontal="general" vertical="bottom" textRotation="0" wrapText="false" indent="0" shrinkToFit="false"/>
    </xf>
    <xf numFmtId="164" fontId="6" fillId="3" borderId="0" applyFont="true" applyBorder="false" applyAlignment="true" applyProtection="false">
      <alignment horizontal="general" vertical="bottom" textRotation="0" wrapText="false" indent="0" shrinkToFit="false"/>
    </xf>
    <xf numFmtId="164" fontId="7" fillId="20" borderId="1" applyFont="true" applyBorder="true" applyAlignment="true" applyProtection="false">
      <alignment horizontal="general" vertical="bottom" textRotation="0" wrapText="false" indent="0" shrinkToFit="false"/>
    </xf>
    <xf numFmtId="164" fontId="7" fillId="20" borderId="1" applyFont="true" applyBorder="true" applyAlignment="true" applyProtection="false">
      <alignment horizontal="general" vertical="bottom" textRotation="0" wrapText="false" indent="0" shrinkToFit="false"/>
    </xf>
    <xf numFmtId="164" fontId="8" fillId="21" borderId="2" applyFont="true" applyBorder="true" applyAlignment="true" applyProtection="false">
      <alignment horizontal="general" vertical="bottom" textRotation="0" wrapText="false" indent="0" shrinkToFit="false"/>
    </xf>
    <xf numFmtId="164" fontId="8" fillId="21" borderId="2" applyFont="true" applyBorder="tru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4" borderId="0" applyFont="true" applyBorder="false" applyAlignment="true" applyProtection="false">
      <alignment horizontal="general" vertical="bottom" textRotation="0" wrapText="false" indent="0" shrinkToFit="false"/>
    </xf>
    <xf numFmtId="164" fontId="10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3" applyFont="true" applyBorder="true" applyAlignment="true" applyProtection="false">
      <alignment horizontal="general" vertical="bottom" textRotation="0" wrapText="false" indent="0" shrinkToFit="false"/>
    </xf>
    <xf numFmtId="164" fontId="11" fillId="0" borderId="3" applyFont="true" applyBorder="true" applyAlignment="true" applyProtection="false">
      <alignment horizontal="general" vertical="bottom" textRotation="0" wrapText="false" indent="0" shrinkToFit="false"/>
    </xf>
    <xf numFmtId="164" fontId="12" fillId="0" borderId="4" applyFont="true" applyBorder="true" applyAlignment="true" applyProtection="false">
      <alignment horizontal="general" vertical="bottom" textRotation="0" wrapText="false" indent="0" shrinkToFit="false"/>
    </xf>
    <xf numFmtId="164" fontId="12" fillId="0" borderId="4" applyFont="true" applyBorder="true" applyAlignment="true" applyProtection="false">
      <alignment horizontal="general" vertical="bottom" textRotation="0" wrapText="false" indent="0" shrinkToFit="false"/>
    </xf>
    <xf numFmtId="164" fontId="13" fillId="0" borderId="5" applyFont="true" applyBorder="true" applyAlignment="true" applyProtection="false">
      <alignment horizontal="general" vertical="bottom" textRotation="0" wrapText="false" indent="0" shrinkToFit="false"/>
    </xf>
    <xf numFmtId="164" fontId="13" fillId="0" borderId="5" applyFont="true" applyBorder="tru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1" applyFont="true" applyBorder="true" applyAlignment="true" applyProtection="false">
      <alignment horizontal="general" vertical="bottom" textRotation="0" wrapText="false" indent="0" shrinkToFit="false"/>
    </xf>
    <xf numFmtId="164" fontId="14" fillId="7" borderId="1" applyFont="true" applyBorder="true" applyAlignment="true" applyProtection="false">
      <alignment horizontal="general" vertical="bottom" textRotation="0" wrapText="false" indent="0" shrinkToFit="false"/>
    </xf>
    <xf numFmtId="164" fontId="15" fillId="0" borderId="6" applyFont="true" applyBorder="true" applyAlignment="true" applyProtection="false">
      <alignment horizontal="general" vertical="bottom" textRotation="0" wrapText="false" indent="0" shrinkToFit="false"/>
    </xf>
    <xf numFmtId="164" fontId="15" fillId="0" borderId="6" applyFont="true" applyBorder="true" applyAlignment="true" applyProtection="false">
      <alignment horizontal="general" vertical="bottom" textRotation="0" wrapText="false" indent="0" shrinkToFit="false"/>
    </xf>
    <xf numFmtId="164" fontId="16" fillId="22" borderId="0" applyFont="true" applyBorder="false" applyAlignment="true" applyProtection="false">
      <alignment horizontal="general" vertical="bottom" textRotation="0" wrapText="false" indent="0" shrinkToFit="false"/>
    </xf>
    <xf numFmtId="164" fontId="16" fillId="22" borderId="0" applyFont="true" applyBorder="false" applyAlignment="true" applyProtection="false">
      <alignment horizontal="general" vertical="bottom" textRotation="0" wrapText="false" indent="0" shrinkToFit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7" applyFont="true" applyBorder="true" applyAlignment="true" applyProtection="false">
      <alignment horizontal="general" vertical="bottom" textRotation="0" wrapText="false" indent="0" shrinkToFit="false"/>
    </xf>
    <xf numFmtId="164" fontId="0" fillId="23" borderId="7" applyFont="true" applyBorder="true" applyAlignment="true" applyProtection="false">
      <alignment horizontal="general" vertical="bottom" textRotation="0" wrapText="false" indent="0" shrinkToFit="false"/>
    </xf>
    <xf numFmtId="164" fontId="19" fillId="20" borderId="8" applyFont="true" applyBorder="true" applyAlignment="true" applyProtection="false">
      <alignment horizontal="general" vertical="bottom" textRotation="0" wrapText="false" indent="0" shrinkToFit="false"/>
    </xf>
    <xf numFmtId="164" fontId="19" fillId="20" borderId="8" applyFont="true" applyBorder="true" applyAlignment="true" applyProtection="false">
      <alignment horizontal="general" vertical="bottom" textRotation="0" wrapText="false" indent="0" shrinkToFit="false"/>
    </xf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  <xf numFmtId="164" fontId="21" fillId="0" borderId="9" applyFont="true" applyBorder="true" applyAlignment="true" applyProtection="false">
      <alignment horizontal="general" vertical="bottom" textRotation="0" wrapText="false" indent="0" shrinkToFit="false"/>
    </xf>
    <xf numFmtId="164" fontId="21" fillId="0" borderId="9" applyFont="true" applyBorder="true" applyAlignment="true" applyProtection="false">
      <alignment horizontal="general" vertical="bottom" textRotation="0" wrapText="false" indent="0" shrinkToFit="false"/>
    </xf>
    <xf numFmtId="164" fontId="22" fillId="0" borderId="0" applyFont="true" applyBorder="false" applyAlignment="true" applyProtection="false">
      <alignment horizontal="general" vertical="bottom" textRotation="0" wrapText="false" indent="0" shrinkToFit="false"/>
    </xf>
    <xf numFmtId="164" fontId="22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30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0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1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1" fillId="0" borderId="16" xfId="12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30" fillId="0" borderId="16" xfId="8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30" fillId="0" borderId="16" xfId="7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0" fillId="0" borderId="16" xfId="12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3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0" borderId="16" xfId="12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30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6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0" xfId="0" applyFont="true" applyBorder="true" applyAlignment="true" applyProtection="false">
      <alignment horizontal="left" vertical="bottom" textRotation="0" wrapText="false" indent="3" shrinkToFit="false"/>
      <protection locked="true" hidden="false"/>
    </xf>
    <xf numFmtId="164" fontId="3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39" fillId="0" borderId="0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5" fontId="40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28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left" vertical="bottom" textRotation="0" wrapText="false" indent="4" shrinkToFit="false"/>
      <protection locked="true" hidden="false"/>
    </xf>
    <xf numFmtId="164" fontId="3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0" fillId="0" borderId="0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39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8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4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11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39" fillId="0" borderId="0" xfId="114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3" fillId="0" borderId="0" xfId="114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44" fillId="0" borderId="0" xfId="7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44" fillId="0" borderId="0" xfId="7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39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3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5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4" fillId="0" borderId="0" xfId="7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4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7" fillId="0" borderId="0" xfId="7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4" fillId="0" borderId="0" xfId="7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5" fillId="0" borderId="0" xfId="7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5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34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43" fillId="0" borderId="0" xfId="78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49" fillId="0" borderId="0" xfId="78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40" fillId="0" borderId="0" xfId="78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48" fillId="0" borderId="0" xfId="78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50" fillId="0" borderId="0" xfId="7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5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3" fillId="0" borderId="0" xfId="7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3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1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34" fillId="0" borderId="0" xfId="78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41" fillId="0" borderId="0" xfId="7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true" applyAlignment="true" applyProtection="false">
      <alignment horizontal="left" vertical="top" textRotation="0" wrapText="false" indent="6" shrinkToFit="false"/>
      <protection locked="true" hidden="false"/>
    </xf>
    <xf numFmtId="164" fontId="4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3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6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56" fillId="0" borderId="0" xfId="74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7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8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58" fillId="0" borderId="0" xfId="74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9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57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59" fillId="0" borderId="0" xfId="116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6" fontId="57" fillId="0" borderId="21" xfId="1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7" fillId="0" borderId="21" xfId="9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7" fillId="0" borderId="21" xfId="7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7" fillId="24" borderId="22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8" fillId="24" borderId="22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3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4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8" fillId="24" borderId="24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21" xfId="7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0" fillId="0" borderId="21" xfId="7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8" fillId="0" borderId="0" xfId="116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7" fillId="24" borderId="25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6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7" xfId="7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8" fillId="0" borderId="0" xfId="13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12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3" fillId="0" borderId="0" xfId="8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0" borderId="0" xfId="7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3" fillId="0" borderId="0" xfId="13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8" fillId="0" borderId="0" xfId="13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1" fillId="0" borderId="0" xfId="13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1" fillId="0" borderId="0" xfId="11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2" fillId="0" borderId="0" xfId="135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3" fillId="0" borderId="0" xfId="135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3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128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23" fillId="0" borderId="0" xfId="13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3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23" fillId="0" borderId="0" xfId="11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23" fillId="0" borderId="0" xfId="74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23" fillId="25" borderId="0" xfId="74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6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56" fillId="0" borderId="0" xfId="7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7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8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58" fillId="0" borderId="0" xfId="7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7" fillId="0" borderId="0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9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57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59" fillId="0" borderId="0" xfId="118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7" fillId="24" borderId="22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8" fillId="24" borderId="22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3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4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8" fillId="24" borderId="24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21" xfId="7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0" fillId="0" borderId="21" xfId="7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8" fillId="0" borderId="0" xfId="118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7" fillId="24" borderId="25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6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7" fillId="24" borderId="27" xfId="7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8" fillId="0" borderId="0" xfId="136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23" fillId="0" borderId="0" xfId="11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3" fillId="0" borderId="0" xfId="11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3" fillId="0" borderId="0" xfId="78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23" fillId="0" borderId="0" xfId="136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8" fillId="0" borderId="0" xfId="13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1" fillId="0" borderId="0" xfId="13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1" fillId="0" borderId="0" xfId="118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3" fillId="0" borderId="0" xfId="11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64" fillId="0" borderId="0" xfId="11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5" fillId="0" borderId="0" xfId="11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2" fillId="0" borderId="0" xfId="13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3" fillId="0" borderId="0" xfId="136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3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1" fontId="30" fillId="0" borderId="0" xfId="11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11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114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3" fillId="0" borderId="0" xfId="13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11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30" fillId="0" borderId="0" xfId="11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11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0" xfId="11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11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3" fillId="0" borderId="0" xfId="11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23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114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3" fillId="0" borderId="0" xfId="11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3" fillId="0" borderId="0" xfId="11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118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118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23" fillId="0" borderId="0" xfId="7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23" fillId="25" borderId="0" xfId="7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6" fillId="0" borderId="0" xfId="118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8" fillId="0" borderId="0" xfId="11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114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13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2" xfId="20"/>
    <cellStyle name="20% - Accent1 3" xfId="21"/>
    <cellStyle name="20% - Accent2 2" xfId="22"/>
    <cellStyle name="20% - Accent2 3" xfId="23"/>
    <cellStyle name="20% - Accent3 2" xfId="24"/>
    <cellStyle name="20% - Accent3 3" xfId="25"/>
    <cellStyle name="20% - Accent4 2" xfId="26"/>
    <cellStyle name="20% - Accent4 3" xfId="27"/>
    <cellStyle name="20% - Accent5 2" xfId="28"/>
    <cellStyle name="20% - Accent5 3" xfId="29"/>
    <cellStyle name="20% - Accent6 2" xfId="30"/>
    <cellStyle name="20% - Accent6 3" xfId="31"/>
    <cellStyle name="40% - Accent1 2" xfId="32"/>
    <cellStyle name="40% - Accent1 3" xfId="33"/>
    <cellStyle name="40% - Accent2 2" xfId="34"/>
    <cellStyle name="40% - Accent2 3" xfId="35"/>
    <cellStyle name="40% - Accent3 2" xfId="36"/>
    <cellStyle name="40% - Accent3 3" xfId="37"/>
    <cellStyle name="40% - Accent4 2" xfId="38"/>
    <cellStyle name="40% - Accent4 3" xfId="39"/>
    <cellStyle name="40% - Accent5 2" xfId="40"/>
    <cellStyle name="40% - Accent5 3" xfId="41"/>
    <cellStyle name="40% - Accent6 2" xfId="42"/>
    <cellStyle name="40% - Accent6 3" xfId="43"/>
    <cellStyle name="60% - Accent1 2" xfId="44"/>
    <cellStyle name="60% - Accent1 3" xfId="45"/>
    <cellStyle name="60% - Accent2 2" xfId="46"/>
    <cellStyle name="60% - Accent2 3" xfId="47"/>
    <cellStyle name="60% - Accent3 2" xfId="48"/>
    <cellStyle name="60% - Accent3 3" xfId="49"/>
    <cellStyle name="60% - Accent4 2" xfId="50"/>
    <cellStyle name="60% - Accent4 3" xfId="51"/>
    <cellStyle name="60% - Accent5 2" xfId="52"/>
    <cellStyle name="60% - Accent5 3" xfId="53"/>
    <cellStyle name="60% - Accent6 2" xfId="54"/>
    <cellStyle name="60% - Accent6 3" xfId="55"/>
    <cellStyle name="Accent1 2" xfId="56"/>
    <cellStyle name="Accent1 3" xfId="57"/>
    <cellStyle name="Accent2 2" xfId="58"/>
    <cellStyle name="Accent2 3" xfId="59"/>
    <cellStyle name="Accent3 2" xfId="60"/>
    <cellStyle name="Accent3 3" xfId="61"/>
    <cellStyle name="Accent4 2" xfId="62"/>
    <cellStyle name="Accent4 3" xfId="63"/>
    <cellStyle name="Accent5 2" xfId="64"/>
    <cellStyle name="Accent5 3" xfId="65"/>
    <cellStyle name="Accent6 2" xfId="66"/>
    <cellStyle name="Accent6 3" xfId="67"/>
    <cellStyle name="Bad 2" xfId="68"/>
    <cellStyle name="Bad 3" xfId="69"/>
    <cellStyle name="Calculation 2" xfId="70"/>
    <cellStyle name="Calculation 3" xfId="71"/>
    <cellStyle name="Check Cell 2" xfId="72"/>
    <cellStyle name="Check Cell 3" xfId="73"/>
    <cellStyle name="Comma 10" xfId="74"/>
    <cellStyle name="Comma 10 2" xfId="75"/>
    <cellStyle name="Comma 2" xfId="76"/>
    <cellStyle name="Comma 2 2" xfId="77"/>
    <cellStyle name="Comma 2 2 2" xfId="78"/>
    <cellStyle name="Comma 2 3" xfId="79"/>
    <cellStyle name="Comma 3" xfId="80"/>
    <cellStyle name="Comma 3 2" xfId="81"/>
    <cellStyle name="Comma 4" xfId="82"/>
    <cellStyle name="Comma 5" xfId="83"/>
    <cellStyle name="Comma 5 2" xfId="84"/>
    <cellStyle name="Comma 6" xfId="85"/>
    <cellStyle name="Comma 7" xfId="86"/>
    <cellStyle name="Comma 7 2" xfId="87"/>
    <cellStyle name="Comma 7 2 2" xfId="88"/>
    <cellStyle name="Comma 7 3" xfId="89"/>
    <cellStyle name="Comma 8" xfId="90"/>
    <cellStyle name="Comma 8 2" xfId="91"/>
    <cellStyle name="Comma 8 3 46" xfId="92"/>
    <cellStyle name="Comma 8 3 46 2" xfId="93"/>
    <cellStyle name="Comma 8 4" xfId="94"/>
    <cellStyle name="Comma 9" xfId="95"/>
    <cellStyle name="Explanatory Text 2" xfId="96"/>
    <cellStyle name="Explanatory Text 3" xfId="97"/>
    <cellStyle name="Good 2" xfId="98"/>
    <cellStyle name="Good 3" xfId="99"/>
    <cellStyle name="Heading 1 2" xfId="100"/>
    <cellStyle name="Heading 1 3" xfId="101"/>
    <cellStyle name="Heading 2 2" xfId="102"/>
    <cellStyle name="Heading 2 3" xfId="103"/>
    <cellStyle name="Heading 3 2" xfId="104"/>
    <cellStyle name="Heading 3 3" xfId="105"/>
    <cellStyle name="Heading 4 2" xfId="106"/>
    <cellStyle name="Heading 4 3" xfId="107"/>
    <cellStyle name="Input 2" xfId="108"/>
    <cellStyle name="Input 3" xfId="109"/>
    <cellStyle name="Linked Cell 2" xfId="110"/>
    <cellStyle name="Linked Cell 3" xfId="111"/>
    <cellStyle name="Neutral 2" xfId="112"/>
    <cellStyle name="Neutral 3" xfId="113"/>
    <cellStyle name="Normal 10" xfId="114"/>
    <cellStyle name="Normal 12 2" xfId="115"/>
    <cellStyle name="Normal 2" xfId="116"/>
    <cellStyle name="Normal 2 2" xfId="117"/>
    <cellStyle name="Normal 2 3" xfId="118"/>
    <cellStyle name="Normal 23 2" xfId="119"/>
    <cellStyle name="Normal 3" xfId="120"/>
    <cellStyle name="Normal 3 2" xfId="121"/>
    <cellStyle name="Normal 4" xfId="122"/>
    <cellStyle name="Normal 4 2" xfId="123"/>
    <cellStyle name="Normal 5" xfId="124"/>
    <cellStyle name="Normal 6" xfId="125"/>
    <cellStyle name="Normal 7" xfId="126"/>
    <cellStyle name="Normal 7 2" xfId="127"/>
    <cellStyle name="Normal 7 2 2" xfId="128"/>
    <cellStyle name="Normal 7 2 3" xfId="129"/>
    <cellStyle name="Normal 7 3" xfId="130"/>
    <cellStyle name="Normal 7 6" xfId="131"/>
    <cellStyle name="Normal 7 7" xfId="132"/>
    <cellStyle name="Normal 8" xfId="133"/>
    <cellStyle name="Normal 8 2" xfId="134"/>
    <cellStyle name="Normal 8 3 46" xfId="135"/>
    <cellStyle name="Normal 8 3 46 2" xfId="136"/>
    <cellStyle name="Normal 8 4" xfId="137"/>
    <cellStyle name="Normal 9" xfId="138"/>
    <cellStyle name="Normal 9 3" xfId="139"/>
    <cellStyle name="Normal_Sheet1" xfId="140"/>
    <cellStyle name="Note 2" xfId="141"/>
    <cellStyle name="Note 3" xfId="142"/>
    <cellStyle name="Output 2" xfId="143"/>
    <cellStyle name="Output 3" xfId="144"/>
    <cellStyle name="Title 2" xfId="145"/>
    <cellStyle name="Title 3" xfId="146"/>
    <cellStyle name="Total 2" xfId="147"/>
    <cellStyle name="Total 3" xfId="148"/>
    <cellStyle name="Warning Text 2" xfId="149"/>
    <cellStyle name="Warning Text 3" xfId="15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5B3D7"/>
      <rgbColor rgb="FF953735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254061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9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0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36360</xdr:colOff>
      <xdr:row>0</xdr:row>
      <xdr:rowOff>36000</xdr:rowOff>
    </xdr:from>
    <xdr:to>
      <xdr:col>1</xdr:col>
      <xdr:colOff>759600</xdr:colOff>
      <xdr:row>1</xdr:row>
      <xdr:rowOff>241560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360" y="36000"/>
          <a:ext cx="1781640" cy="491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36000</xdr:colOff>
      <xdr:row>0</xdr:row>
      <xdr:rowOff>36000</xdr:rowOff>
    </xdr:from>
    <xdr:to>
      <xdr:col>1</xdr:col>
      <xdr:colOff>759240</xdr:colOff>
      <xdr:row>1</xdr:row>
      <xdr:rowOff>241560</xdr:rowOff>
    </xdr:to>
    <xdr:pic>
      <xdr:nvPicPr>
        <xdr:cNvPr id="1" name="Image 1" descr=""/>
        <xdr:cNvPicPr/>
      </xdr:nvPicPr>
      <xdr:blipFill>
        <a:blip r:embed="rId1"/>
        <a:stretch/>
      </xdr:blipFill>
      <xdr:spPr>
        <a:xfrm>
          <a:off x="36000" y="36000"/>
          <a:ext cx="1781640" cy="4910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true"/>
  </sheetPr>
  <dimension ref="A1:J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8.55078125" defaultRowHeight="18" zeroHeight="false" outlineLevelRow="0" outlineLevelCol="0"/>
  <cols>
    <col collapsed="false" customWidth="true" hidden="false" outlineLevel="0" max="1" min="1" style="0" width="15"/>
    <col collapsed="false" customWidth="true" hidden="false" outlineLevel="0" max="2" min="2" style="0" width="11.29"/>
    <col collapsed="false" customWidth="true" hidden="false" outlineLevel="0" max="3" min="3" style="0" width="29.86"/>
    <col collapsed="false" customWidth="true" hidden="false" outlineLevel="0" max="4" min="4" style="0" width="11.57"/>
    <col collapsed="false" customWidth="true" hidden="false" outlineLevel="0" max="5" min="5" style="0" width="11.29"/>
    <col collapsed="false" customWidth="true" hidden="false" outlineLevel="0" max="6" min="6" style="0" width="10.58"/>
    <col collapsed="false" customWidth="true" hidden="false" outlineLevel="0" max="7" min="7" style="0" width="13.14"/>
    <col collapsed="false" customWidth="true" hidden="false" outlineLevel="0" max="8" min="8" style="0" width="10.42"/>
    <col collapsed="false" customWidth="true" hidden="false" outlineLevel="0" max="9" min="9" style="0" width="11.99"/>
    <col collapsed="false" customWidth="true" hidden="false" outlineLevel="0" max="10" min="10" style="0" width="9.71"/>
  </cols>
  <sheetData>
    <row r="1" customFormat="false" ht="22.5" hidden="false" customHeight="true" outlineLevel="0" collapsed="false">
      <c r="A1" s="1"/>
      <c r="B1" s="2"/>
      <c r="C1" s="2"/>
      <c r="D1" s="2"/>
      <c r="E1" s="2"/>
      <c r="F1" s="2"/>
      <c r="G1" s="2"/>
      <c r="H1" s="2"/>
      <c r="I1" s="3"/>
      <c r="J1" s="4"/>
    </row>
    <row r="2" customFormat="false" ht="22.5" hidden="false" customHeight="true" outlineLevel="0" collapsed="false">
      <c r="A2" s="5" t="s">
        <v>0</v>
      </c>
      <c r="B2" s="5"/>
      <c r="C2" s="5"/>
      <c r="D2" s="5"/>
      <c r="E2" s="5"/>
      <c r="F2" s="5"/>
      <c r="G2" s="5"/>
      <c r="H2" s="5"/>
      <c r="I2" s="5"/>
      <c r="J2" s="4"/>
    </row>
    <row r="3" customFormat="false" ht="22.5" hidden="false" customHeight="true" outlineLevel="0" collapsed="false">
      <c r="A3" s="6" t="s">
        <v>1</v>
      </c>
      <c r="B3" s="7"/>
      <c r="C3" s="8" t="s">
        <v>2</v>
      </c>
      <c r="D3" s="7"/>
      <c r="E3" s="7" t="s">
        <v>3</v>
      </c>
      <c r="F3" s="7"/>
      <c r="G3" s="7"/>
      <c r="H3" s="7"/>
      <c r="I3" s="9"/>
      <c r="J3" s="4"/>
    </row>
    <row r="4" customFormat="false" ht="9.95" hidden="false" customHeight="true" outlineLevel="0" collapsed="false">
      <c r="A4" s="10"/>
      <c r="B4" s="7"/>
      <c r="C4" s="7"/>
      <c r="D4" s="7"/>
      <c r="E4" s="7"/>
      <c r="F4" s="7"/>
      <c r="G4" s="7"/>
      <c r="H4" s="7"/>
      <c r="I4" s="9"/>
      <c r="J4" s="11"/>
    </row>
    <row r="5" s="15" customFormat="true" ht="22.5" hidden="false" customHeight="true" outlineLevel="0" collapsed="false">
      <c r="A5" s="12" t="s">
        <v>4</v>
      </c>
      <c r="B5" s="12" t="s">
        <v>5</v>
      </c>
      <c r="C5" s="13" t="s">
        <v>6</v>
      </c>
      <c r="D5" s="14" t="s">
        <v>7</v>
      </c>
      <c r="E5" s="12" t="s">
        <v>8</v>
      </c>
      <c r="F5" s="12" t="s">
        <v>9</v>
      </c>
      <c r="G5" s="12" t="s">
        <v>10</v>
      </c>
      <c r="H5" s="12" t="s">
        <v>11</v>
      </c>
      <c r="I5" s="12" t="s">
        <v>12</v>
      </c>
    </row>
    <row r="6" s="23" customFormat="true" ht="22.5" hidden="false" customHeight="true" outlineLevel="0" collapsed="false">
      <c r="A6" s="16"/>
      <c r="B6" s="17"/>
      <c r="C6" s="18"/>
      <c r="D6" s="19"/>
      <c r="E6" s="20"/>
      <c r="F6" s="20" t="n">
        <v>0</v>
      </c>
      <c r="G6" s="21" t="n">
        <v>0</v>
      </c>
      <c r="H6" s="20" t="n">
        <v>0</v>
      </c>
      <c r="I6" s="20" t="n">
        <v>0</v>
      </c>
      <c r="J6" s="22"/>
    </row>
    <row r="7" s="22" customFormat="true" ht="22.5" hidden="false" customHeight="true" outlineLevel="0" collapsed="false">
      <c r="A7" s="16"/>
      <c r="B7" s="17"/>
      <c r="C7" s="24"/>
      <c r="D7" s="25"/>
      <c r="E7" s="20"/>
      <c r="F7" s="20" t="n">
        <v>0</v>
      </c>
      <c r="G7" s="21" t="n">
        <v>0</v>
      </c>
      <c r="H7" s="20" t="n">
        <v>0</v>
      </c>
      <c r="I7" s="20" t="n">
        <v>0</v>
      </c>
    </row>
    <row r="8" s="22" customFormat="true" ht="22.5" hidden="false" customHeight="true" outlineLevel="0" collapsed="false">
      <c r="A8" s="16"/>
      <c r="B8" s="17"/>
      <c r="C8" s="24"/>
      <c r="D8" s="25"/>
      <c r="E8" s="20"/>
      <c r="F8" s="20" t="n">
        <v>0</v>
      </c>
      <c r="G8" s="21" t="n">
        <v>0</v>
      </c>
      <c r="H8" s="20" t="n">
        <v>0</v>
      </c>
      <c r="I8" s="20" t="n">
        <v>0</v>
      </c>
      <c r="J8" s="26"/>
    </row>
    <row r="9" s="22" customFormat="true" ht="22.5" hidden="false" customHeight="true" outlineLevel="0" collapsed="false">
      <c r="A9" s="24"/>
      <c r="B9" s="27"/>
      <c r="C9" s="18"/>
      <c r="D9" s="25"/>
      <c r="E9" s="20"/>
      <c r="F9" s="20" t="n">
        <v>0</v>
      </c>
      <c r="G9" s="21" t="n">
        <v>0</v>
      </c>
      <c r="H9" s="20" t="n">
        <v>0</v>
      </c>
      <c r="I9" s="20" t="n">
        <v>0</v>
      </c>
      <c r="J9" s="26"/>
    </row>
    <row r="10" s="22" customFormat="true" ht="22.5" hidden="false" customHeight="true" outlineLevel="0" collapsed="false">
      <c r="A10" s="24"/>
      <c r="B10" s="17"/>
      <c r="C10" s="24"/>
      <c r="D10" s="25"/>
      <c r="E10" s="20"/>
      <c r="F10" s="20" t="n">
        <v>0</v>
      </c>
      <c r="G10" s="21" t="n">
        <v>0</v>
      </c>
      <c r="H10" s="20" t="n">
        <v>0</v>
      </c>
      <c r="I10" s="20" t="n">
        <v>0</v>
      </c>
      <c r="J10" s="26"/>
    </row>
    <row r="11" s="22" customFormat="true" ht="22.5" hidden="false" customHeight="true" outlineLevel="0" collapsed="false">
      <c r="A11" s="24"/>
      <c r="B11" s="17"/>
      <c r="C11" s="28"/>
      <c r="D11" s="25"/>
      <c r="E11" s="20"/>
      <c r="F11" s="20" t="n">
        <v>0</v>
      </c>
      <c r="G11" s="21" t="n">
        <v>0</v>
      </c>
      <c r="H11" s="20" t="n">
        <v>0</v>
      </c>
      <c r="I11" s="20" t="n">
        <v>0</v>
      </c>
      <c r="J11" s="26"/>
    </row>
    <row r="12" s="22" customFormat="true" ht="22.5" hidden="false" customHeight="true" outlineLevel="0" collapsed="false">
      <c r="A12" s="24"/>
      <c r="B12" s="17"/>
      <c r="C12" s="28"/>
      <c r="D12" s="25"/>
      <c r="E12" s="20"/>
      <c r="F12" s="20" t="n">
        <v>0</v>
      </c>
      <c r="G12" s="21" t="n">
        <v>0</v>
      </c>
      <c r="H12" s="20" t="n">
        <v>0</v>
      </c>
      <c r="I12" s="20" t="n">
        <v>0</v>
      </c>
      <c r="J12" s="26"/>
    </row>
    <row r="13" s="22" customFormat="true" ht="22.5" hidden="false" customHeight="true" outlineLevel="0" collapsed="false">
      <c r="A13" s="24"/>
      <c r="B13" s="24"/>
      <c r="C13" s="24"/>
      <c r="D13" s="25"/>
      <c r="E13" s="20"/>
      <c r="F13" s="20" t="n">
        <v>0</v>
      </c>
      <c r="G13" s="21" t="n">
        <v>0</v>
      </c>
      <c r="H13" s="20" t="n">
        <v>0</v>
      </c>
      <c r="I13" s="20" t="n">
        <v>0</v>
      </c>
      <c r="J13" s="26"/>
    </row>
    <row r="14" s="22" customFormat="true" ht="22.5" hidden="false" customHeight="true" outlineLevel="0" collapsed="false">
      <c r="A14" s="24"/>
      <c r="B14" s="24"/>
      <c r="C14" s="24"/>
      <c r="D14" s="25"/>
      <c r="E14" s="20"/>
      <c r="F14" s="20" t="n">
        <v>0</v>
      </c>
      <c r="G14" s="21" t="n">
        <v>0</v>
      </c>
      <c r="H14" s="20" t="n">
        <v>0</v>
      </c>
      <c r="I14" s="20" t="n">
        <v>0</v>
      </c>
      <c r="J14" s="26"/>
    </row>
    <row r="15" s="22" customFormat="true" ht="22.5" hidden="false" customHeight="true" outlineLevel="0" collapsed="false">
      <c r="A15" s="24"/>
      <c r="B15" s="24"/>
      <c r="C15" s="24"/>
      <c r="D15" s="25"/>
      <c r="E15" s="20"/>
      <c r="F15" s="20" t="n">
        <v>0</v>
      </c>
      <c r="G15" s="21" t="n">
        <v>0</v>
      </c>
      <c r="H15" s="20" t="n">
        <v>0</v>
      </c>
      <c r="I15" s="20" t="n">
        <v>0</v>
      </c>
      <c r="J15" s="26"/>
    </row>
    <row r="16" customFormat="false" ht="22.5" hidden="false" customHeight="true" outlineLevel="0" collapsed="false">
      <c r="A16" s="29" t="s">
        <v>13</v>
      </c>
      <c r="B16" s="8"/>
      <c r="C16" s="8"/>
      <c r="D16" s="8"/>
      <c r="E16" s="8"/>
      <c r="F16" s="8"/>
      <c r="G16" s="30" t="n">
        <f aca="false">SUM(G6:G15)</f>
        <v>0</v>
      </c>
      <c r="H16" s="8"/>
      <c r="I16" s="31"/>
      <c r="J16" s="4"/>
    </row>
    <row r="17" customFormat="false" ht="22.5" hidden="false" customHeight="true" outlineLevel="0" collapsed="false">
      <c r="A17" s="32"/>
      <c r="B17" s="33"/>
      <c r="C17" s="34" t="s">
        <v>14</v>
      </c>
      <c r="D17" s="35" t="s">
        <v>15</v>
      </c>
      <c r="E17" s="33"/>
      <c r="F17" s="33"/>
      <c r="G17" s="33"/>
      <c r="H17" s="33"/>
      <c r="I17" s="36"/>
      <c r="J17" s="4"/>
    </row>
    <row r="18" customFormat="false" ht="22.5" hidden="false" customHeight="true" outlineLevel="0" collapsed="false">
      <c r="A18" s="32"/>
      <c r="B18" s="33"/>
      <c r="C18" s="33"/>
      <c r="E18" s="33"/>
      <c r="F18" s="8"/>
      <c r="G18" s="35"/>
      <c r="H18" s="37"/>
      <c r="I18" s="38"/>
      <c r="J18" s="4"/>
    </row>
    <row r="19" customFormat="false" ht="18" hidden="false" customHeight="false" outlineLevel="0" collapsed="false">
      <c r="A19" s="32"/>
      <c r="C19" s="34" t="s">
        <v>16</v>
      </c>
      <c r="D19" s="35"/>
      <c r="E19" s="33"/>
      <c r="F19" s="8"/>
      <c r="G19" s="35" t="s">
        <v>17</v>
      </c>
      <c r="H19" s="37"/>
      <c r="I19" s="38"/>
      <c r="J19" s="4"/>
    </row>
    <row r="20" customFormat="false" ht="18" hidden="false" customHeight="true" outlineLevel="0" collapsed="false">
      <c r="A20" s="39" t="s">
        <v>18</v>
      </c>
      <c r="B20" s="33"/>
      <c r="C20" s="33"/>
      <c r="D20" s="33"/>
      <c r="E20" s="33"/>
      <c r="F20" s="33"/>
      <c r="G20" s="33"/>
      <c r="H20" s="33"/>
      <c r="I20" s="36"/>
    </row>
    <row r="21" customFormat="false" ht="18" hidden="false" customHeight="true" outlineLevel="0" collapsed="false">
      <c r="A21" s="40"/>
      <c r="B21" s="41"/>
      <c r="C21" s="41"/>
      <c r="D21" s="41"/>
      <c r="E21" s="41"/>
      <c r="F21" s="41"/>
      <c r="G21" s="41"/>
      <c r="H21" s="41"/>
      <c r="I21" s="42"/>
    </row>
  </sheetData>
  <mergeCells count="1">
    <mergeCell ref="A2:I2"/>
  </mergeCells>
  <printOptions headings="false" gridLines="false" gridLinesSet="true" horizontalCentered="true" verticalCentered="false"/>
  <pageMargins left="0.25" right="0.25" top="0.611111111111111" bottom="0.75" header="0.3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true"/>
  </sheetPr>
  <dimension ref="A1:J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5078125" defaultRowHeight="18" zeroHeight="false" outlineLevelRow="0" outlineLevelCol="0"/>
  <cols>
    <col collapsed="false" customWidth="true" hidden="false" outlineLevel="0" max="1" min="1" style="0" width="15"/>
    <col collapsed="false" customWidth="true" hidden="false" outlineLevel="0" max="2" min="2" style="0" width="11.29"/>
    <col collapsed="false" customWidth="true" hidden="false" outlineLevel="0" max="3" min="3" style="0" width="29.86"/>
    <col collapsed="false" customWidth="true" hidden="false" outlineLevel="0" max="4" min="4" style="0" width="11.57"/>
    <col collapsed="false" customWidth="true" hidden="false" outlineLevel="0" max="5" min="5" style="0" width="11.29"/>
    <col collapsed="false" customWidth="true" hidden="false" outlineLevel="0" max="6" min="6" style="0" width="10.58"/>
    <col collapsed="false" customWidth="true" hidden="false" outlineLevel="0" max="7" min="7" style="0" width="13.14"/>
    <col collapsed="false" customWidth="true" hidden="false" outlineLevel="0" max="8" min="8" style="0" width="10.42"/>
    <col collapsed="false" customWidth="true" hidden="false" outlineLevel="0" max="9" min="9" style="0" width="11.99"/>
    <col collapsed="false" customWidth="true" hidden="false" outlineLevel="0" max="10" min="10" style="0" width="9.71"/>
  </cols>
  <sheetData>
    <row r="1" customFormat="false" ht="22.5" hidden="false" customHeight="true" outlineLevel="0" collapsed="false">
      <c r="A1" s="1"/>
      <c r="B1" s="2"/>
      <c r="C1" s="2"/>
      <c r="D1" s="2"/>
      <c r="E1" s="2"/>
      <c r="F1" s="2"/>
      <c r="G1" s="2"/>
      <c r="H1" s="2"/>
      <c r="I1" s="3"/>
      <c r="J1" s="4"/>
    </row>
    <row r="2" customFormat="false" ht="22.5" hidden="false" customHeight="true" outlineLevel="0" collapsed="false">
      <c r="A2" s="5" t="s">
        <v>0</v>
      </c>
      <c r="B2" s="5"/>
      <c r="C2" s="5"/>
      <c r="D2" s="5"/>
      <c r="E2" s="5"/>
      <c r="F2" s="5"/>
      <c r="G2" s="5"/>
      <c r="H2" s="5"/>
      <c r="I2" s="5"/>
      <c r="J2" s="4"/>
    </row>
    <row r="3" customFormat="false" ht="22.5" hidden="false" customHeight="true" outlineLevel="0" collapsed="false">
      <c r="A3" s="6" t="s">
        <v>19</v>
      </c>
      <c r="B3" s="7"/>
      <c r="C3" s="8" t="s">
        <v>20</v>
      </c>
      <c r="D3" s="7"/>
      <c r="E3" s="7" t="s">
        <v>3</v>
      </c>
      <c r="F3" s="7"/>
      <c r="G3" s="7"/>
      <c r="H3" s="7"/>
      <c r="I3" s="9"/>
      <c r="J3" s="4"/>
    </row>
    <row r="4" customFormat="false" ht="9.95" hidden="false" customHeight="true" outlineLevel="0" collapsed="false">
      <c r="A4" s="10"/>
      <c r="B4" s="7"/>
      <c r="C4" s="7"/>
      <c r="D4" s="7"/>
      <c r="E4" s="7"/>
      <c r="F4" s="7"/>
      <c r="G4" s="7"/>
      <c r="H4" s="7"/>
      <c r="I4" s="9"/>
      <c r="J4" s="11"/>
    </row>
    <row r="5" s="15" customFormat="true" ht="22.5" hidden="false" customHeight="true" outlineLevel="0" collapsed="false">
      <c r="A5" s="12" t="s">
        <v>4</v>
      </c>
      <c r="B5" s="12" t="s">
        <v>5</v>
      </c>
      <c r="C5" s="13" t="s">
        <v>6</v>
      </c>
      <c r="D5" s="14" t="s">
        <v>7</v>
      </c>
      <c r="E5" s="12" t="s">
        <v>8</v>
      </c>
      <c r="F5" s="12" t="s">
        <v>9</v>
      </c>
      <c r="G5" s="12" t="s">
        <v>10</v>
      </c>
      <c r="H5" s="12" t="s">
        <v>11</v>
      </c>
      <c r="I5" s="12" t="s">
        <v>12</v>
      </c>
    </row>
    <row r="6" s="23" customFormat="true" ht="22.5" hidden="false" customHeight="true" outlineLevel="0" collapsed="false">
      <c r="A6" s="16"/>
      <c r="B6" s="17"/>
      <c r="C6" s="18"/>
      <c r="D6" s="19"/>
      <c r="E6" s="20"/>
      <c r="F6" s="20" t="n">
        <v>0</v>
      </c>
      <c r="G6" s="21" t="n">
        <v>0</v>
      </c>
      <c r="H6" s="20" t="n">
        <v>0</v>
      </c>
      <c r="I6" s="20" t="n">
        <v>0</v>
      </c>
      <c r="J6" s="22"/>
    </row>
    <row r="7" s="22" customFormat="true" ht="22.5" hidden="false" customHeight="true" outlineLevel="0" collapsed="false">
      <c r="A7" s="16"/>
      <c r="B7" s="17"/>
      <c r="C7" s="24"/>
      <c r="D7" s="25"/>
      <c r="E7" s="20"/>
      <c r="F7" s="20" t="n">
        <v>0</v>
      </c>
      <c r="G7" s="21" t="n">
        <v>0</v>
      </c>
      <c r="H7" s="20" t="n">
        <v>0</v>
      </c>
      <c r="I7" s="20" t="n">
        <v>0</v>
      </c>
    </row>
    <row r="8" s="22" customFormat="true" ht="22.5" hidden="false" customHeight="true" outlineLevel="0" collapsed="false">
      <c r="A8" s="16"/>
      <c r="B8" s="17"/>
      <c r="C8" s="24"/>
      <c r="D8" s="25"/>
      <c r="E8" s="20"/>
      <c r="F8" s="20" t="n">
        <v>0</v>
      </c>
      <c r="G8" s="21" t="n">
        <v>0</v>
      </c>
      <c r="H8" s="20" t="n">
        <v>0</v>
      </c>
      <c r="I8" s="20" t="n">
        <v>0</v>
      </c>
      <c r="J8" s="26"/>
    </row>
    <row r="9" s="22" customFormat="true" ht="22.5" hidden="false" customHeight="true" outlineLevel="0" collapsed="false">
      <c r="A9" s="24"/>
      <c r="B9" s="27"/>
      <c r="C9" s="18"/>
      <c r="D9" s="25"/>
      <c r="E9" s="20"/>
      <c r="F9" s="20" t="n">
        <v>0</v>
      </c>
      <c r="G9" s="21" t="n">
        <v>0</v>
      </c>
      <c r="H9" s="20" t="n">
        <v>0</v>
      </c>
      <c r="I9" s="20" t="n">
        <v>0</v>
      </c>
      <c r="J9" s="26"/>
    </row>
    <row r="10" s="22" customFormat="true" ht="22.5" hidden="false" customHeight="true" outlineLevel="0" collapsed="false">
      <c r="A10" s="24"/>
      <c r="B10" s="17"/>
      <c r="C10" s="24"/>
      <c r="D10" s="25"/>
      <c r="E10" s="20"/>
      <c r="F10" s="20" t="n">
        <v>0</v>
      </c>
      <c r="G10" s="21" t="n">
        <v>0</v>
      </c>
      <c r="H10" s="20" t="n">
        <v>0</v>
      </c>
      <c r="I10" s="20" t="n">
        <v>0</v>
      </c>
      <c r="J10" s="26"/>
    </row>
    <row r="11" s="22" customFormat="true" ht="22.5" hidden="false" customHeight="true" outlineLevel="0" collapsed="false">
      <c r="A11" s="24"/>
      <c r="B11" s="17"/>
      <c r="C11" s="28"/>
      <c r="D11" s="25"/>
      <c r="E11" s="20"/>
      <c r="F11" s="20" t="n">
        <v>0</v>
      </c>
      <c r="G11" s="21" t="n">
        <v>0</v>
      </c>
      <c r="H11" s="20" t="n">
        <v>0</v>
      </c>
      <c r="I11" s="20" t="n">
        <v>0</v>
      </c>
      <c r="J11" s="26"/>
    </row>
    <row r="12" s="22" customFormat="true" ht="22.5" hidden="false" customHeight="true" outlineLevel="0" collapsed="false">
      <c r="A12" s="24"/>
      <c r="B12" s="17"/>
      <c r="C12" s="28"/>
      <c r="D12" s="25"/>
      <c r="E12" s="20"/>
      <c r="F12" s="20" t="n">
        <v>0</v>
      </c>
      <c r="G12" s="21" t="n">
        <v>0</v>
      </c>
      <c r="H12" s="20" t="n">
        <v>0</v>
      </c>
      <c r="I12" s="20" t="n">
        <v>0</v>
      </c>
      <c r="J12" s="26"/>
    </row>
    <row r="13" s="22" customFormat="true" ht="22.5" hidden="false" customHeight="true" outlineLevel="0" collapsed="false">
      <c r="A13" s="24"/>
      <c r="B13" s="24"/>
      <c r="C13" s="24"/>
      <c r="D13" s="25"/>
      <c r="E13" s="20"/>
      <c r="F13" s="20" t="n">
        <v>0</v>
      </c>
      <c r="G13" s="21" t="n">
        <v>0</v>
      </c>
      <c r="H13" s="20" t="n">
        <v>0</v>
      </c>
      <c r="I13" s="20" t="n">
        <v>0</v>
      </c>
      <c r="J13" s="26"/>
    </row>
    <row r="14" s="22" customFormat="true" ht="22.5" hidden="false" customHeight="true" outlineLevel="0" collapsed="false">
      <c r="A14" s="24"/>
      <c r="B14" s="24"/>
      <c r="C14" s="24"/>
      <c r="D14" s="25"/>
      <c r="E14" s="20"/>
      <c r="F14" s="20" t="n">
        <v>0</v>
      </c>
      <c r="G14" s="21" t="n">
        <v>0</v>
      </c>
      <c r="H14" s="20" t="n">
        <v>0</v>
      </c>
      <c r="I14" s="20" t="n">
        <v>0</v>
      </c>
      <c r="J14" s="26"/>
    </row>
    <row r="15" s="22" customFormat="true" ht="22.5" hidden="false" customHeight="true" outlineLevel="0" collapsed="false">
      <c r="A15" s="24"/>
      <c r="B15" s="24"/>
      <c r="C15" s="24"/>
      <c r="D15" s="25"/>
      <c r="E15" s="20"/>
      <c r="F15" s="20" t="n">
        <v>0</v>
      </c>
      <c r="G15" s="21" t="n">
        <v>0</v>
      </c>
      <c r="H15" s="20" t="n">
        <v>0</v>
      </c>
      <c r="I15" s="20" t="n">
        <v>0</v>
      </c>
      <c r="J15" s="26"/>
    </row>
    <row r="16" customFormat="false" ht="22.5" hidden="false" customHeight="true" outlineLevel="0" collapsed="false">
      <c r="A16" s="29" t="s">
        <v>13</v>
      </c>
      <c r="B16" s="8"/>
      <c r="C16" s="8"/>
      <c r="D16" s="8"/>
      <c r="E16" s="8"/>
      <c r="F16" s="8"/>
      <c r="G16" s="30" t="n">
        <f aca="false">SUM(G6:G15)</f>
        <v>0</v>
      </c>
      <c r="H16" s="8"/>
      <c r="I16" s="31"/>
      <c r="J16" s="4"/>
    </row>
    <row r="17" customFormat="false" ht="22.5" hidden="false" customHeight="true" outlineLevel="0" collapsed="false">
      <c r="A17" s="32"/>
      <c r="B17" s="33"/>
      <c r="C17" s="34" t="s">
        <v>14</v>
      </c>
      <c r="D17" s="35" t="s">
        <v>15</v>
      </c>
      <c r="E17" s="33"/>
      <c r="F17" s="33"/>
      <c r="G17" s="33"/>
      <c r="H17" s="33"/>
      <c r="I17" s="36"/>
      <c r="J17" s="4"/>
    </row>
    <row r="18" customFormat="false" ht="22.5" hidden="false" customHeight="true" outlineLevel="0" collapsed="false">
      <c r="A18" s="32"/>
      <c r="B18" s="33"/>
      <c r="C18" s="33"/>
      <c r="D18" s="8"/>
      <c r="E18" s="33"/>
      <c r="F18" s="8"/>
      <c r="G18" s="35"/>
      <c r="H18" s="43"/>
      <c r="I18" s="38"/>
      <c r="J18" s="4"/>
    </row>
    <row r="19" customFormat="false" ht="18" hidden="false" customHeight="false" outlineLevel="0" collapsed="false">
      <c r="A19" s="32"/>
      <c r="B19" s="33"/>
      <c r="C19" s="34" t="s">
        <v>16</v>
      </c>
      <c r="D19" s="44"/>
      <c r="E19" s="35"/>
      <c r="F19" s="8"/>
      <c r="G19" s="35" t="s">
        <v>17</v>
      </c>
      <c r="H19" s="43"/>
      <c r="I19" s="38"/>
      <c r="J19" s="4"/>
    </row>
    <row r="20" customFormat="false" ht="18" hidden="false" customHeight="true" outlineLevel="0" collapsed="false">
      <c r="A20" s="39" t="s">
        <v>18</v>
      </c>
      <c r="B20" s="33"/>
      <c r="C20" s="33"/>
      <c r="D20" s="33"/>
      <c r="E20" s="33"/>
      <c r="F20" s="33"/>
      <c r="G20" s="33"/>
      <c r="H20" s="33"/>
      <c r="I20" s="36"/>
    </row>
    <row r="21" customFormat="false" ht="18" hidden="false" customHeight="true" outlineLevel="0" collapsed="false">
      <c r="A21" s="40"/>
      <c r="B21" s="41"/>
      <c r="C21" s="41"/>
      <c r="D21" s="41"/>
      <c r="E21" s="41"/>
      <c r="F21" s="41"/>
      <c r="G21" s="41"/>
      <c r="H21" s="41"/>
      <c r="I21" s="42"/>
    </row>
  </sheetData>
  <mergeCells count="1">
    <mergeCell ref="A2:I2"/>
  </mergeCells>
  <printOptions headings="false" gridLines="false" gridLinesSet="true" horizontalCentered="true" verticalCentered="false"/>
  <pageMargins left="0.236111111111111" right="0.236111111111111" top="0.609027777777778" bottom="0.747916666666667" header="0.315277777777778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false"/>
  </sheetPr>
  <dimension ref="A1:P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1171875" defaultRowHeight="12.75" zeroHeight="false" outlineLevelRow="0" outlineLevelCol="0"/>
  <cols>
    <col collapsed="false" customWidth="true" hidden="false" outlineLevel="0" max="3" min="1" style="0" width="9.71"/>
    <col collapsed="false" customWidth="true" hidden="false" outlineLevel="0" max="4" min="4" style="0" width="10"/>
    <col collapsed="false" customWidth="true" hidden="false" outlineLevel="0" max="5" min="5" style="0" width="11.29"/>
    <col collapsed="false" customWidth="true" hidden="false" outlineLevel="0" max="6" min="6" style="0" width="5.28"/>
    <col collapsed="false" customWidth="true" hidden="false" outlineLevel="0" max="7" min="7" style="0" width="2"/>
    <col collapsed="false" customWidth="true" hidden="false" outlineLevel="0" max="8" min="8" style="0" width="8.14"/>
    <col collapsed="false" customWidth="true" hidden="false" outlineLevel="0" max="9" min="9" style="0" width="4.71"/>
    <col collapsed="false" customWidth="true" hidden="false" outlineLevel="0" max="10" min="10" style="0" width="5.01"/>
    <col collapsed="false" customWidth="true" hidden="false" outlineLevel="0" max="11" min="11" style="0" width="4.14"/>
    <col collapsed="false" customWidth="true" hidden="false" outlineLevel="0" max="12" min="12" style="0" width="5.14"/>
    <col collapsed="false" customWidth="true" hidden="false" outlineLevel="0" max="13" min="13" style="0" width="5.01"/>
    <col collapsed="false" customWidth="true" hidden="false" outlineLevel="0" max="14" min="14" style="0" width="2"/>
    <col collapsed="false" customWidth="true" hidden="false" outlineLevel="0" max="15" min="15" style="0" width="8.14"/>
  </cols>
  <sheetData>
    <row r="1" customFormat="false" ht="6.75" hidden="false" customHeight="true" outlineLevel="0" collapsed="false">
      <c r="A1" s="45"/>
      <c r="B1" s="45"/>
      <c r="C1" s="45"/>
      <c r="D1" s="46"/>
      <c r="E1" s="45"/>
      <c r="F1" s="45"/>
      <c r="G1" s="45"/>
      <c r="H1" s="45"/>
      <c r="I1" s="45"/>
      <c r="K1" s="47"/>
      <c r="L1" s="47"/>
      <c r="M1" s="47"/>
      <c r="N1" s="47"/>
      <c r="O1" s="47"/>
    </row>
    <row r="2" customFormat="false" ht="12.75" hidden="false" customHeight="true" outlineLevel="0" collapsed="false">
      <c r="A2" s="45"/>
      <c r="B2" s="45"/>
      <c r="C2" s="48"/>
      <c r="D2" s="46"/>
      <c r="E2" s="45"/>
      <c r="F2" s="45"/>
      <c r="G2" s="45"/>
      <c r="H2" s="45"/>
      <c r="I2" s="45"/>
      <c r="J2" s="49"/>
      <c r="K2" s="47"/>
      <c r="L2" s="47"/>
      <c r="M2" s="47"/>
      <c r="N2" s="47"/>
      <c r="O2" s="47"/>
    </row>
    <row r="3" customFormat="false" ht="18.6" hidden="false" customHeight="true" outlineLevel="0" collapsed="false">
      <c r="A3" s="45"/>
      <c r="B3" s="45"/>
      <c r="C3" s="48"/>
      <c r="D3" s="46"/>
      <c r="E3" s="45"/>
      <c r="F3" s="45"/>
      <c r="G3" s="45"/>
      <c r="H3" s="45"/>
      <c r="I3" s="45"/>
      <c r="J3" s="45"/>
      <c r="K3" s="50"/>
      <c r="L3" s="50"/>
      <c r="M3" s="50"/>
      <c r="N3" s="50"/>
      <c r="O3" s="45"/>
    </row>
    <row r="4" customFormat="false" ht="12.75" hidden="false" customHeight="true" outlineLevel="0" collapsed="false">
      <c r="A4" s="45"/>
      <c r="B4" s="45"/>
      <c r="C4" s="48"/>
      <c r="D4" s="46"/>
      <c r="E4" s="45"/>
      <c r="F4" s="45"/>
      <c r="G4" s="51"/>
      <c r="H4" s="45"/>
      <c r="I4" s="45"/>
      <c r="J4" s="45"/>
      <c r="K4" s="50"/>
      <c r="L4" s="50"/>
      <c r="M4" s="50"/>
      <c r="N4" s="50"/>
      <c r="O4" s="45"/>
    </row>
    <row r="5" customFormat="false" ht="4.5" hidden="false" customHeight="true" outlineLevel="0" collapsed="false">
      <c r="A5" s="45"/>
      <c r="B5" s="45"/>
      <c r="C5" s="45"/>
      <c r="D5" s="45"/>
      <c r="E5" s="45"/>
      <c r="F5" s="45"/>
      <c r="G5" s="51"/>
      <c r="H5" s="45"/>
      <c r="I5" s="45"/>
      <c r="J5" s="45"/>
      <c r="K5" s="45"/>
      <c r="L5" s="45"/>
      <c r="M5" s="45"/>
      <c r="N5" s="45"/>
      <c r="O5" s="45"/>
    </row>
    <row r="6" customFormat="false" ht="3.95" hidden="false" customHeight="true" outlineLevel="0" collapsed="false">
      <c r="A6" s="52"/>
      <c r="B6" s="45"/>
      <c r="C6" s="45"/>
      <c r="D6" s="45"/>
      <c r="E6" s="45"/>
      <c r="F6" s="45"/>
      <c r="G6" s="45"/>
      <c r="H6" s="45"/>
      <c r="I6" s="45"/>
      <c r="J6" s="53"/>
      <c r="K6" s="53"/>
      <c r="L6" s="53"/>
      <c r="M6" s="53"/>
      <c r="N6" s="53"/>
      <c r="O6" s="53"/>
    </row>
    <row r="7" customFormat="false" ht="13.5" hidden="false" customHeight="true" outlineLevel="0" collapsed="false">
      <c r="A7" s="54"/>
      <c r="B7" s="45"/>
      <c r="C7" s="45"/>
      <c r="D7" s="45"/>
      <c r="E7" s="45"/>
      <c r="F7" s="55"/>
      <c r="G7" s="45"/>
      <c r="H7" s="45"/>
      <c r="I7" s="56"/>
      <c r="J7" s="53"/>
      <c r="K7" s="53"/>
      <c r="L7" s="53"/>
      <c r="M7" s="53"/>
      <c r="N7" s="53"/>
      <c r="O7" s="53"/>
    </row>
    <row r="8" customFormat="false" ht="3.95" hidden="false" customHeight="true" outlineLevel="0" collapsed="false">
      <c r="A8" s="57"/>
      <c r="B8" s="45"/>
      <c r="C8" s="45"/>
      <c r="D8" s="45"/>
      <c r="E8" s="45"/>
      <c r="F8" s="45"/>
      <c r="G8" s="45"/>
      <c r="H8" s="45"/>
      <c r="I8" s="45"/>
      <c r="J8" s="58"/>
      <c r="K8" s="45"/>
      <c r="L8" s="59"/>
      <c r="M8" s="59"/>
      <c r="N8" s="59"/>
      <c r="O8" s="45"/>
    </row>
    <row r="9" customFormat="false" ht="13.5" hidden="false" customHeight="false" outlineLevel="0" collapsed="false">
      <c r="A9" s="54"/>
      <c r="B9" s="60"/>
      <c r="C9" s="60"/>
      <c r="D9" s="45"/>
      <c r="E9" s="45"/>
      <c r="F9" s="45"/>
      <c r="G9" s="45"/>
      <c r="H9" s="45"/>
      <c r="I9" s="56"/>
      <c r="J9" s="56"/>
      <c r="K9" s="45"/>
      <c r="L9" s="59"/>
      <c r="M9" s="61"/>
      <c r="N9" s="61"/>
      <c r="O9" s="61"/>
    </row>
    <row r="10" customFormat="false" ht="3.95" hidden="false" customHeight="true" outlineLevel="0" collapsed="false">
      <c r="A10" s="54"/>
      <c r="B10" s="45"/>
      <c r="C10" s="45"/>
      <c r="D10" s="45"/>
      <c r="E10" s="45"/>
      <c r="F10" s="45"/>
      <c r="G10" s="45"/>
      <c r="H10" s="45"/>
      <c r="I10" s="45"/>
      <c r="J10" s="58"/>
      <c r="K10" s="45"/>
      <c r="L10" s="59"/>
      <c r="M10" s="61"/>
      <c r="N10" s="61"/>
      <c r="O10" s="61"/>
    </row>
    <row r="11" customFormat="false" ht="16.35" hidden="false" customHeight="true" outlineLevel="0" collapsed="false">
      <c r="A11" s="54"/>
      <c r="B11" s="45"/>
      <c r="C11" s="45"/>
      <c r="D11" s="45"/>
      <c r="E11" s="45"/>
      <c r="F11" s="45"/>
      <c r="G11" s="45"/>
      <c r="H11" s="45"/>
      <c r="I11" s="56"/>
      <c r="J11" s="56"/>
      <c r="K11" s="45"/>
      <c r="L11" s="62"/>
      <c r="M11" s="61"/>
      <c r="N11" s="61"/>
      <c r="O11" s="61"/>
    </row>
    <row r="12" customFormat="false" ht="3.95" hidden="false" customHeight="true" outlineLevel="0" collapsed="false">
      <c r="A12" s="57"/>
      <c r="B12" s="45"/>
      <c r="C12" s="45"/>
      <c r="D12" s="45"/>
      <c r="E12" s="45"/>
      <c r="F12" s="45"/>
      <c r="G12" s="45"/>
      <c r="H12" s="45"/>
      <c r="I12" s="45"/>
      <c r="J12" s="58"/>
      <c r="K12" s="45"/>
      <c r="L12" s="59"/>
      <c r="M12" s="61"/>
      <c r="N12" s="61"/>
      <c r="O12" s="61"/>
    </row>
    <row r="13" customFormat="false" ht="13.5" hidden="false" customHeight="false" outlineLevel="0" collapsed="false">
      <c r="A13" s="54"/>
      <c r="B13" s="63"/>
      <c r="C13" s="63"/>
      <c r="D13" s="63"/>
      <c r="E13" s="63"/>
      <c r="F13" s="63"/>
      <c r="G13" s="63"/>
      <c r="H13" s="63"/>
      <c r="I13" s="56"/>
      <c r="J13" s="56"/>
      <c r="K13" s="45"/>
      <c r="L13" s="62"/>
      <c r="M13" s="61"/>
      <c r="N13" s="61"/>
      <c r="O13" s="61"/>
    </row>
    <row r="14" s="66" customFormat="true" ht="3.95" hidden="false" customHeight="true" outlineLevel="0" collapsed="false">
      <c r="A14" s="64"/>
      <c r="B14" s="65"/>
      <c r="C14" s="65"/>
      <c r="D14" s="65"/>
      <c r="E14" s="65"/>
      <c r="F14" s="65"/>
      <c r="G14" s="65"/>
      <c r="H14" s="65"/>
      <c r="I14" s="65"/>
      <c r="J14" s="64"/>
      <c r="K14" s="64"/>
      <c r="L14" s="64"/>
      <c r="M14" s="61"/>
      <c r="N14" s="61"/>
      <c r="O14" s="61"/>
    </row>
    <row r="15" customFormat="false" ht="8.1" hidden="false" customHeight="true" outlineLevel="0" collapsed="false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  <row r="16" customFormat="false" ht="13.5" hidden="false" customHeight="false" outlineLevel="0" collapsed="false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</row>
    <row r="17" customFormat="false" ht="29.1" hidden="false" customHeight="true" outlineLevel="0" collapsed="false">
      <c r="A17" s="68"/>
      <c r="B17" s="68"/>
      <c r="C17" s="68"/>
      <c r="D17" s="69" t="s">
        <v>21</v>
      </c>
      <c r="E17" s="69" t="s">
        <v>22</v>
      </c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customFormat="false" ht="13.5" hidden="false" customHeight="false" outlineLevel="0" collapsed="false">
      <c r="A18" s="70"/>
      <c r="B18" s="70"/>
      <c r="C18" s="71"/>
      <c r="D18" s="72" t="n">
        <v>500</v>
      </c>
      <c r="E18" s="73" t="n">
        <v>0</v>
      </c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customFormat="false" ht="13.5" hidden="false" customHeight="false" outlineLevel="0" collapsed="false">
      <c r="A19" s="60"/>
      <c r="B19" s="74" t="s">
        <v>23</v>
      </c>
      <c r="C19" s="75"/>
      <c r="D19" s="76"/>
      <c r="E19" s="76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customFormat="false" ht="13.5" hidden="false" customHeight="false" outlineLevel="0" collapsed="false">
      <c r="A20" s="70"/>
      <c r="B20" s="77"/>
      <c r="C20" s="77"/>
      <c r="D20" s="78"/>
      <c r="E20" s="73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customFormat="false" ht="12.75" hidden="false" customHeight="false" outlineLevel="0" collapsed="false">
      <c r="A21" s="77"/>
      <c r="B21" s="77"/>
      <c r="C21" s="77"/>
      <c r="D21" s="77"/>
      <c r="E21" s="77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customFormat="false" ht="13.5" hidden="false" customHeight="false" outlineLevel="0" collapsed="false">
      <c r="A22" s="70"/>
      <c r="B22" s="77"/>
      <c r="C22" s="77"/>
      <c r="D22" s="78"/>
      <c r="E22" s="73"/>
      <c r="F22" s="45"/>
      <c r="G22" s="45"/>
      <c r="H22" s="45"/>
      <c r="I22" s="45"/>
      <c r="J22" s="45"/>
      <c r="K22" s="45"/>
      <c r="L22" s="45"/>
      <c r="M22" s="45"/>
      <c r="N22" s="45"/>
      <c r="O22" s="45"/>
    </row>
    <row r="23" customFormat="false" ht="12.75" hidden="false" customHeight="false" outlineLevel="0" collapsed="false">
      <c r="A23" s="77"/>
      <c r="B23" s="77"/>
      <c r="C23" s="77"/>
      <c r="D23" s="77"/>
      <c r="E23" s="77"/>
      <c r="F23" s="45"/>
      <c r="G23" s="45"/>
      <c r="H23" s="45"/>
      <c r="I23" s="45"/>
      <c r="J23" s="45"/>
      <c r="K23" s="45"/>
      <c r="L23" s="45"/>
      <c r="M23" s="45"/>
      <c r="N23" s="45"/>
      <c r="O23" s="45"/>
    </row>
    <row r="24" customFormat="false" ht="13.5" hidden="false" customHeight="false" outlineLevel="0" collapsed="false">
      <c r="A24" s="70"/>
      <c r="B24" s="77"/>
      <c r="C24" s="77"/>
      <c r="D24" s="78"/>
      <c r="E24" s="73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customFormat="false" ht="12.75" hidden="false" customHeight="false" outlineLevel="0" collapsed="false">
      <c r="A25" s="77"/>
      <c r="B25" s="77"/>
      <c r="C25" s="77"/>
      <c r="D25" s="77"/>
      <c r="E25" s="77"/>
      <c r="F25" s="45"/>
      <c r="G25" s="45"/>
      <c r="H25" s="45"/>
      <c r="I25" s="45"/>
      <c r="J25" s="45"/>
      <c r="K25" s="45"/>
      <c r="L25" s="45"/>
      <c r="M25" s="45"/>
      <c r="N25" s="45"/>
      <c r="O25" s="45"/>
    </row>
    <row r="26" customFormat="false" ht="12.75" hidden="false" customHeight="true" outlineLevel="0" collapsed="false">
      <c r="A26" s="70"/>
      <c r="B26" s="77"/>
      <c r="C26" s="77"/>
      <c r="D26" s="78"/>
      <c r="E26" s="73"/>
      <c r="F26" s="45"/>
      <c r="G26" s="45"/>
      <c r="H26" s="45"/>
      <c r="I26" s="45"/>
      <c r="J26" s="45"/>
      <c r="K26" s="45"/>
      <c r="L26" s="45"/>
      <c r="M26" s="45"/>
      <c r="N26" s="45"/>
      <c r="O26" s="45"/>
    </row>
    <row r="27" customFormat="false" ht="12.75" hidden="false" customHeight="true" outlineLevel="0" collapsed="false">
      <c r="A27" s="79"/>
      <c r="B27" s="79"/>
      <c r="C27" s="79"/>
      <c r="D27" s="79"/>
      <c r="E27" s="79"/>
      <c r="F27" s="45"/>
      <c r="G27" s="45"/>
      <c r="J27" s="45"/>
      <c r="K27" s="45"/>
      <c r="L27" s="45"/>
      <c r="M27" s="45"/>
      <c r="N27" s="45"/>
      <c r="O27" s="45"/>
    </row>
    <row r="28" customFormat="false" ht="12.75" hidden="false" customHeight="true" outlineLevel="0" collapsed="false">
      <c r="A28" s="70"/>
      <c r="B28" s="77"/>
      <c r="C28" s="77"/>
      <c r="D28" s="78"/>
      <c r="E28" s="73"/>
      <c r="F28" s="45"/>
      <c r="G28" s="45"/>
      <c r="H28" s="45"/>
      <c r="I28" s="45"/>
      <c r="J28" s="45"/>
      <c r="K28" s="45"/>
      <c r="L28" s="45"/>
      <c r="M28" s="45"/>
      <c r="N28" s="45"/>
      <c r="O28" s="45"/>
    </row>
    <row r="29" customFormat="false" ht="17.25" hidden="false" customHeight="true" outlineLevel="0" collapsed="false">
      <c r="A29" s="45"/>
      <c r="B29" s="45"/>
      <c r="C29" s="45"/>
      <c r="D29" s="45"/>
      <c r="E29" s="45"/>
      <c r="F29" s="45"/>
      <c r="G29" s="45"/>
      <c r="H29" s="80"/>
      <c r="I29" s="80"/>
      <c r="J29" s="80"/>
      <c r="K29" s="80"/>
      <c r="L29" s="80"/>
      <c r="M29" s="80"/>
      <c r="N29" s="80"/>
      <c r="O29" s="80"/>
    </row>
    <row r="30" customFormat="false" ht="4.5" hidden="false" customHeight="true" outlineLevel="0" collapsed="false">
      <c r="A30" s="45"/>
      <c r="B30" s="45"/>
      <c r="C30" s="45"/>
      <c r="D30" s="45"/>
      <c r="E30" s="45"/>
      <c r="F30" s="45"/>
      <c r="G30" s="45"/>
      <c r="H30" s="80"/>
      <c r="I30" s="80"/>
      <c r="J30" s="80"/>
      <c r="K30" s="80"/>
      <c r="L30" s="80"/>
      <c r="M30" s="80"/>
      <c r="N30" s="80"/>
      <c r="O30" s="80"/>
    </row>
    <row r="31" customFormat="false" ht="8.45" hidden="false" customHeight="true" outlineLevel="0" collapsed="false">
      <c r="A31" s="81"/>
      <c r="B31" s="81"/>
      <c r="C31" s="81"/>
      <c r="D31" s="81"/>
      <c r="E31" s="82"/>
      <c r="F31" s="82"/>
      <c r="G31" s="83"/>
      <c r="H31" s="83" t="n">
        <f aca="false">SUM(D18:D28)/1.12</f>
        <v>446.428571428571</v>
      </c>
      <c r="I31" s="84"/>
      <c r="J31" s="84"/>
      <c r="K31" s="85"/>
      <c r="L31" s="85"/>
      <c r="M31" s="85"/>
      <c r="O31" s="83" t="n">
        <f aca="false">SUM(D18:D28)</f>
        <v>500</v>
      </c>
    </row>
    <row r="32" customFormat="false" ht="6.75" hidden="false" customHeight="true" outlineLevel="0" collapsed="false">
      <c r="A32" s="81"/>
      <c r="B32" s="81"/>
      <c r="C32" s="81"/>
      <c r="D32" s="81"/>
      <c r="E32" s="82"/>
      <c r="F32" s="82"/>
      <c r="G32" s="86"/>
      <c r="H32" s="86"/>
      <c r="I32" s="84"/>
      <c r="J32" s="84"/>
      <c r="K32" s="85"/>
      <c r="L32" s="85"/>
      <c r="M32" s="85"/>
      <c r="N32" s="86"/>
      <c r="O32" s="86"/>
    </row>
    <row r="33" customFormat="false" ht="8.45" hidden="false" customHeight="true" outlineLevel="0" collapsed="false">
      <c r="A33" s="87"/>
      <c r="B33" s="87"/>
      <c r="C33" s="87"/>
      <c r="D33" s="87"/>
      <c r="E33" s="82"/>
      <c r="F33" s="82"/>
      <c r="G33" s="83"/>
      <c r="H33" s="83" t="n">
        <v>0</v>
      </c>
      <c r="I33" s="84"/>
      <c r="J33" s="84"/>
      <c r="K33" s="85"/>
      <c r="L33" s="85"/>
      <c r="M33" s="85"/>
      <c r="N33" s="83"/>
      <c r="O33" s="83" t="n">
        <f aca="false">H37</f>
        <v>53.5714285714286</v>
      </c>
    </row>
    <row r="34" customFormat="false" ht="6.75" hidden="false" customHeight="true" outlineLevel="0" collapsed="false">
      <c r="A34" s="87"/>
      <c r="B34" s="87"/>
      <c r="C34" s="87"/>
      <c r="D34" s="87"/>
      <c r="E34" s="82"/>
      <c r="F34" s="82"/>
      <c r="G34" s="88"/>
      <c r="H34" s="86"/>
      <c r="I34" s="84"/>
      <c r="J34" s="84"/>
      <c r="K34" s="85"/>
      <c r="L34" s="85"/>
      <c r="M34" s="85"/>
      <c r="N34" s="86"/>
      <c r="O34" s="86"/>
    </row>
    <row r="35" customFormat="false" ht="8.45" hidden="false" customHeight="true" outlineLevel="0" collapsed="false">
      <c r="A35" s="89" t="s">
        <v>24</v>
      </c>
      <c r="B35" s="89"/>
      <c r="C35" s="83" t="n">
        <v>0</v>
      </c>
      <c r="D35" s="90"/>
      <c r="E35" s="82"/>
      <c r="F35" s="82"/>
      <c r="G35" s="83"/>
      <c r="H35" s="83" t="n">
        <v>0</v>
      </c>
      <c r="I35" s="84"/>
      <c r="J35" s="84"/>
      <c r="K35" s="85"/>
      <c r="L35" s="85"/>
      <c r="M35" s="85"/>
      <c r="N35" s="83"/>
      <c r="O35" s="83" t="n">
        <f aca="false">H31</f>
        <v>446.428571428571</v>
      </c>
    </row>
    <row r="36" customFormat="false" ht="6.75" hidden="false" customHeight="true" outlineLevel="0" collapsed="false">
      <c r="A36" s="91"/>
      <c r="C36" s="92"/>
      <c r="D36" s="90"/>
      <c r="E36" s="82"/>
      <c r="F36" s="82"/>
      <c r="G36" s="86"/>
      <c r="H36" s="86"/>
      <c r="I36" s="84"/>
      <c r="J36" s="84"/>
      <c r="K36" s="84"/>
      <c r="L36" s="85"/>
      <c r="M36" s="85"/>
      <c r="N36" s="86"/>
      <c r="O36" s="86"/>
    </row>
    <row r="37" customFormat="false" ht="8.45" hidden="false" customHeight="true" outlineLevel="0" collapsed="false">
      <c r="A37" s="89" t="s">
        <v>25</v>
      </c>
      <c r="B37" s="89"/>
      <c r="C37" s="83" t="n">
        <v>0</v>
      </c>
      <c r="D37" s="93"/>
      <c r="E37" s="82"/>
      <c r="F37" s="82"/>
      <c r="G37" s="94"/>
      <c r="H37" s="94" t="n">
        <f aca="false">H31*0.12</f>
        <v>53.5714285714286</v>
      </c>
      <c r="I37" s="84"/>
      <c r="J37" s="95"/>
      <c r="K37" s="84"/>
      <c r="L37" s="85"/>
      <c r="M37" s="85"/>
      <c r="N37" s="83"/>
      <c r="O37" s="83" t="n">
        <f aca="false">IF(E18=0,0,ROUND(O35*0.2,2))</f>
        <v>0</v>
      </c>
    </row>
    <row r="38" customFormat="false" ht="6.75" hidden="false" customHeight="true" outlineLevel="0" collapsed="false">
      <c r="A38" s="96"/>
      <c r="C38" s="96"/>
      <c r="D38" s="93"/>
      <c r="E38" s="82"/>
      <c r="F38" s="82"/>
      <c r="G38" s="97"/>
      <c r="H38" s="98"/>
      <c r="I38" s="84"/>
      <c r="J38" s="84"/>
      <c r="K38" s="84"/>
      <c r="L38" s="85"/>
      <c r="M38" s="85"/>
      <c r="N38" s="86"/>
      <c r="O38" s="86"/>
    </row>
    <row r="39" customFormat="false" ht="8.45" hidden="false" customHeight="true" outlineLevel="0" collapsed="false">
      <c r="A39" s="89" t="s">
        <v>26</v>
      </c>
      <c r="B39" s="89"/>
      <c r="C39" s="83" t="n">
        <v>0</v>
      </c>
      <c r="D39" s="90"/>
      <c r="E39" s="82"/>
      <c r="F39" s="82"/>
      <c r="G39" s="97"/>
      <c r="H39" s="88"/>
      <c r="I39" s="99"/>
      <c r="J39" s="84"/>
      <c r="K39" s="100"/>
      <c r="L39" s="100"/>
      <c r="M39" s="84"/>
      <c r="N39" s="83"/>
      <c r="O39" s="83" t="n">
        <f aca="false">IF(E18=0,D18,E18)+IF(E20=0,D20,E20)+IF(E22=0,D22,E22)+IF(E24=0,D24,E24)+IF(E26=0,D26,E26)+IF(E28=0,D28,E28)</f>
        <v>500</v>
      </c>
    </row>
    <row r="40" customFormat="false" ht="6.75" hidden="false" customHeight="true" outlineLevel="0" collapsed="false">
      <c r="A40" s="101"/>
      <c r="C40" s="92"/>
      <c r="D40" s="90"/>
      <c r="E40" s="82"/>
      <c r="F40" s="82"/>
      <c r="G40" s="97"/>
      <c r="H40" s="88"/>
      <c r="I40" s="84"/>
      <c r="J40" s="84"/>
      <c r="K40" s="84"/>
      <c r="L40" s="84"/>
      <c r="M40" s="84"/>
      <c r="N40" s="86"/>
      <c r="O40" s="86"/>
    </row>
    <row r="41" customFormat="false" ht="8.45" hidden="false" customHeight="true" outlineLevel="0" collapsed="false">
      <c r="A41" s="89" t="s">
        <v>27</v>
      </c>
      <c r="B41" s="89"/>
      <c r="C41" s="83" t="n">
        <f aca="false">D18</f>
        <v>500</v>
      </c>
      <c r="D41" s="90"/>
      <c r="E41" s="82"/>
      <c r="F41" s="82"/>
      <c r="G41" s="97"/>
      <c r="H41" s="98"/>
      <c r="I41" s="84"/>
      <c r="J41" s="84"/>
      <c r="K41" s="84"/>
      <c r="L41" s="84"/>
      <c r="M41" s="84"/>
      <c r="N41" s="83"/>
      <c r="O41" s="83" t="n">
        <v>0</v>
      </c>
    </row>
    <row r="42" customFormat="false" ht="6.75" hidden="false" customHeight="true" outlineLevel="0" collapsed="false">
      <c r="A42" s="96"/>
      <c r="C42" s="96"/>
      <c r="D42" s="90"/>
      <c r="E42" s="82"/>
      <c r="F42" s="82"/>
      <c r="G42" s="97"/>
      <c r="H42" s="98"/>
      <c r="I42" s="84"/>
      <c r="J42" s="84"/>
      <c r="K42" s="84"/>
      <c r="L42" s="84"/>
      <c r="M42" s="84"/>
      <c r="N42" s="86"/>
      <c r="O42" s="86"/>
    </row>
    <row r="43" customFormat="false" ht="8.45" hidden="false" customHeight="true" outlineLevel="0" collapsed="false">
      <c r="A43" s="89" t="s">
        <v>28</v>
      </c>
      <c r="B43" s="89"/>
      <c r="C43" s="83" t="n">
        <f aca="false">C41-O43</f>
        <v>0</v>
      </c>
      <c r="D43" s="90"/>
      <c r="E43" s="82"/>
      <c r="F43" s="82"/>
      <c r="G43" s="97"/>
      <c r="H43" s="98"/>
      <c r="I43" s="84"/>
      <c r="J43" s="84"/>
      <c r="K43" s="84"/>
      <c r="L43" s="84"/>
      <c r="M43" s="84"/>
      <c r="N43" s="83"/>
      <c r="O43" s="83" t="n">
        <f aca="false">O39-O41</f>
        <v>500</v>
      </c>
    </row>
    <row r="44" customFormat="false" ht="6.95" hidden="false" customHeight="true" outlineLevel="0" collapsed="false">
      <c r="A44" s="90"/>
      <c r="B44" s="90"/>
      <c r="C44" s="90"/>
      <c r="D44" s="90"/>
      <c r="E44" s="82"/>
      <c r="F44" s="82"/>
      <c r="G44" s="97"/>
      <c r="H44" s="98"/>
      <c r="I44" s="84"/>
      <c r="J44" s="84"/>
      <c r="K44" s="84"/>
      <c r="L44" s="84"/>
      <c r="M44" s="84"/>
      <c r="N44" s="99"/>
      <c r="O44" s="99"/>
    </row>
    <row r="45" customFormat="false" ht="15.2" hidden="false" customHeight="true" outlineLevel="0" collapsed="false">
      <c r="A45" s="102"/>
      <c r="B45" s="102"/>
      <c r="C45" s="102"/>
      <c r="D45" s="102"/>
      <c r="E45" s="87"/>
      <c r="F45" s="87"/>
      <c r="G45" s="87"/>
      <c r="H45" s="103"/>
      <c r="I45" s="103"/>
      <c r="J45" s="103"/>
      <c r="K45" s="103"/>
      <c r="L45" s="103"/>
      <c r="M45" s="104"/>
      <c r="N45" s="104"/>
      <c r="O45" s="104"/>
    </row>
    <row r="46" customFormat="false" ht="6.95" hidden="false" customHeight="true" outlineLevel="0" collapsed="false">
      <c r="A46" s="102"/>
      <c r="B46" s="102"/>
      <c r="C46" s="102"/>
      <c r="D46" s="102"/>
      <c r="E46" s="102"/>
      <c r="F46" s="102"/>
      <c r="G46" s="102"/>
      <c r="I46" s="105"/>
      <c r="J46" s="105"/>
      <c r="K46" s="105"/>
      <c r="L46" s="105"/>
      <c r="M46" s="105"/>
      <c r="N46" s="105"/>
    </row>
    <row r="47" customFormat="false" ht="6.95" hidden="false" customHeight="true" outlineLevel="0" collapsed="false">
      <c r="A47" s="102"/>
      <c r="B47" s="102"/>
      <c r="C47" s="102"/>
      <c r="D47" s="102"/>
      <c r="E47" s="102"/>
      <c r="F47" s="102"/>
      <c r="G47" s="102"/>
      <c r="I47" s="105"/>
      <c r="J47" s="105"/>
      <c r="K47" s="105"/>
      <c r="L47" s="105"/>
      <c r="M47" s="105"/>
      <c r="N47" s="105"/>
    </row>
    <row r="48" customFormat="false" ht="6.95" hidden="false" customHeight="true" outlineLevel="0" collapsed="false">
      <c r="B48" s="106"/>
      <c r="C48" s="106"/>
      <c r="D48" s="106"/>
      <c r="E48" s="106"/>
      <c r="F48" s="106"/>
      <c r="G48" s="106"/>
      <c r="H48" s="107"/>
      <c r="I48" s="107"/>
      <c r="J48" s="107"/>
      <c r="K48" s="107"/>
      <c r="L48" s="107"/>
      <c r="M48" s="107"/>
      <c r="N48" s="107"/>
      <c r="O48" s="107"/>
    </row>
    <row r="49" customFormat="false" ht="6.95" hidden="false" customHeight="true" outlineLevel="0" collapsed="false">
      <c r="B49" s="106"/>
      <c r="C49" s="106"/>
      <c r="D49" s="106"/>
      <c r="E49" s="106"/>
      <c r="F49" s="106"/>
      <c r="G49" s="106"/>
      <c r="H49" s="107"/>
      <c r="I49" s="107"/>
      <c r="J49" s="107"/>
      <c r="K49" s="107"/>
      <c r="L49" s="107"/>
      <c r="M49" s="107"/>
      <c r="N49" s="107"/>
      <c r="O49" s="107"/>
    </row>
    <row r="50" customFormat="false" ht="6.95" hidden="false" customHeight="true" outlineLevel="0" collapsed="false">
      <c r="B50" s="106"/>
      <c r="C50" s="106"/>
      <c r="D50" s="106"/>
      <c r="E50" s="106"/>
      <c r="F50" s="106"/>
      <c r="G50" s="106"/>
      <c r="H50" s="108"/>
      <c r="I50" s="108"/>
      <c r="J50" s="108"/>
      <c r="K50" s="108"/>
      <c r="L50" s="108"/>
      <c r="M50" s="108"/>
      <c r="N50" s="108"/>
      <c r="O50" s="108"/>
    </row>
    <row r="51" customFormat="false" ht="6.95" hidden="false" customHeight="true" outlineLevel="0" collapsed="false">
      <c r="B51" s="106"/>
      <c r="C51" s="106"/>
      <c r="D51" s="106"/>
      <c r="E51" s="106"/>
      <c r="F51" s="106"/>
      <c r="G51" s="106"/>
      <c r="H51" s="108"/>
      <c r="I51" s="108"/>
      <c r="J51" s="108"/>
      <c r="K51" s="108"/>
      <c r="L51" s="108"/>
      <c r="M51" s="108"/>
      <c r="N51" s="108"/>
      <c r="O51" s="108"/>
    </row>
    <row r="52" customFormat="false" ht="6.95" hidden="false" customHeight="true" outlineLevel="0" collapsed="false">
      <c r="B52" s="106"/>
      <c r="C52" s="106"/>
      <c r="D52" s="106"/>
      <c r="E52" s="106"/>
      <c r="F52" s="106"/>
      <c r="G52" s="106"/>
    </row>
    <row r="53" customFormat="false" ht="6.95" hidden="false" customHeight="true" outlineLevel="0" collapsed="false"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</row>
    <row r="54" customFormat="false" ht="6.95" hidden="false" customHeight="true" outlineLevel="0" collapsed="false">
      <c r="A54" s="45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</row>
    <row r="55" customFormat="false" ht="6.95" hidden="false" customHeight="true" outlineLevel="0" collapsed="false">
      <c r="A55" s="45"/>
      <c r="B55" s="109"/>
      <c r="C55" s="109"/>
      <c r="D55" s="109"/>
      <c r="E55" s="109"/>
      <c r="F55" s="109"/>
      <c r="G55" s="109"/>
      <c r="H55" s="45"/>
      <c r="I55" s="45"/>
      <c r="J55" s="45"/>
      <c r="K55" s="45"/>
      <c r="L55" s="45"/>
      <c r="M55" s="45"/>
      <c r="N55" s="45"/>
      <c r="O55" s="45"/>
    </row>
    <row r="56" customFormat="false" ht="12.75" hidden="false" customHeight="false" outlineLevel="0" collapsed="false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</row>
    <row r="57" customFormat="false" ht="12.75" hidden="false" customHeight="false" outlineLevel="0" collapsed="false">
      <c r="A57" s="110"/>
      <c r="B57" s="111"/>
      <c r="C57" s="111"/>
      <c r="D57" s="111"/>
      <c r="E57" s="111"/>
      <c r="F57" s="111"/>
      <c r="G57" s="111"/>
    </row>
    <row r="58" customFormat="false" ht="12.75" hidden="false" customHeight="false" outlineLevel="0" collapsed="false">
      <c r="A58" s="111"/>
      <c r="B58" s="111"/>
      <c r="C58" s="111"/>
      <c r="D58" s="111"/>
      <c r="E58" s="111"/>
      <c r="F58" s="111"/>
      <c r="G58" s="111"/>
    </row>
    <row r="59" customFormat="false" ht="12.75" hidden="false" customHeight="false" outlineLevel="0" collapsed="false">
      <c r="I59" s="45"/>
    </row>
    <row r="60" customFormat="false" ht="12.75" hidden="false" customHeight="false" outlineLevel="0" collapsed="false">
      <c r="I60" s="112"/>
      <c r="P60" s="112"/>
    </row>
  </sheetData>
  <mergeCells count="18">
    <mergeCell ref="K1:O2"/>
    <mergeCell ref="K3:K4"/>
    <mergeCell ref="L3:L4"/>
    <mergeCell ref="M3:M4"/>
    <mergeCell ref="J6:O7"/>
    <mergeCell ref="M9:O14"/>
    <mergeCell ref="A16:D16"/>
    <mergeCell ref="F16:M16"/>
    <mergeCell ref="N16:O16"/>
    <mergeCell ref="A31:D32"/>
    <mergeCell ref="A35:B35"/>
    <mergeCell ref="A37:B37"/>
    <mergeCell ref="A39:B39"/>
    <mergeCell ref="A41:B41"/>
    <mergeCell ref="A43:B43"/>
    <mergeCell ref="I46:N47"/>
    <mergeCell ref="H48:O49"/>
    <mergeCell ref="H50:O51"/>
  </mergeCells>
  <printOptions headings="false" gridLines="false" gridLinesSet="true" horizontalCentered="true" verticalCentered="false"/>
  <pageMargins left="0" right="0" top="0.236111111111111" bottom="0.236111111111111" header="0.511805555555555" footer="0.511805555555555"/>
  <pageSetup paperSize="5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9.15625" defaultRowHeight="12.75" zeroHeight="false" outlineLevelRow="0" outlineLevelCol="0"/>
  <cols>
    <col collapsed="false" customWidth="true" hidden="false" outlineLevel="0" max="1" min="1" style="113" width="15.15"/>
    <col collapsed="false" customWidth="true" hidden="false" outlineLevel="0" max="2" min="2" style="113" width="10.58"/>
    <col collapsed="false" customWidth="true" hidden="false" outlineLevel="0" max="3" min="3" style="113" width="24.29"/>
    <col collapsed="false" customWidth="true" hidden="false" outlineLevel="0" max="4" min="4" style="113" width="18.29"/>
    <col collapsed="false" customWidth="true" hidden="false" outlineLevel="0" max="5" min="5" style="113" width="10.42"/>
    <col collapsed="false" customWidth="true" hidden="false" outlineLevel="0" max="6" min="6" style="114" width="10.85"/>
    <col collapsed="false" customWidth="true" hidden="false" outlineLevel="0" max="7" min="7" style="114" width="8.71"/>
    <col collapsed="false" customWidth="true" hidden="false" outlineLevel="0" max="8" min="8" style="114" width="12.14"/>
    <col collapsed="false" customWidth="true" hidden="false" outlineLevel="0" max="9" min="9" style="114" width="7.57"/>
    <col collapsed="false" customWidth="true" hidden="false" outlineLevel="0" max="10" min="10" style="114" width="11.71"/>
    <col collapsed="false" customWidth="true" hidden="false" outlineLevel="0" max="11" min="11" style="114" width="11.57"/>
    <col collapsed="false" customWidth="true" hidden="false" outlineLevel="0" max="12" min="12" style="113" width="25.86"/>
    <col collapsed="false" customWidth="true" hidden="false" outlineLevel="0" max="13" min="13" style="113" width="11.86"/>
    <col collapsed="false" customWidth="true" hidden="false" outlineLevel="0" max="14" min="14" style="113" width="10.29"/>
    <col collapsed="false" customWidth="false" hidden="false" outlineLevel="0" max="1024" min="15" style="113" width="9.14"/>
  </cols>
  <sheetData>
    <row r="1" s="116" customFormat="true" ht="12" hidden="false" customHeight="true" outlineLevel="0" collapsed="false">
      <c r="A1" s="115" t="s">
        <v>29</v>
      </c>
      <c r="B1" s="115"/>
      <c r="F1" s="117"/>
      <c r="G1" s="117"/>
      <c r="H1" s="117"/>
      <c r="I1" s="117"/>
      <c r="J1" s="117"/>
      <c r="K1" s="117"/>
      <c r="L1" s="117"/>
    </row>
    <row r="2" s="116" customFormat="true" ht="15" hidden="false" customHeight="false" outlineLevel="0" collapsed="false">
      <c r="A2" s="115" t="s">
        <v>30</v>
      </c>
      <c r="B2" s="115"/>
      <c r="F2" s="117"/>
      <c r="G2" s="117"/>
      <c r="H2" s="117"/>
      <c r="I2" s="117"/>
      <c r="J2" s="117"/>
      <c r="K2" s="117"/>
      <c r="L2" s="117"/>
    </row>
    <row r="3" s="116" customFormat="true" ht="15" hidden="false" customHeight="false" outlineLevel="0" collapsed="false">
      <c r="A3" s="118"/>
      <c r="B3" s="119"/>
      <c r="F3" s="117"/>
      <c r="G3" s="117"/>
      <c r="H3" s="117"/>
      <c r="I3" s="117"/>
      <c r="J3" s="117"/>
      <c r="K3" s="117"/>
      <c r="L3" s="117"/>
    </row>
    <row r="4" s="116" customFormat="true" ht="15.75" hidden="false" customHeight="false" outlineLevel="0" collapsed="false">
      <c r="A4" s="120" t="s">
        <v>31</v>
      </c>
      <c r="B4" s="119"/>
      <c r="F4" s="117"/>
      <c r="G4" s="117"/>
      <c r="H4" s="117"/>
      <c r="I4" s="117"/>
      <c r="J4" s="117"/>
      <c r="K4" s="117"/>
      <c r="L4" s="117"/>
    </row>
    <row r="5" s="131" customFormat="true" ht="12.75" hidden="false" customHeight="true" outlineLevel="0" collapsed="false">
      <c r="A5" s="121" t="s">
        <v>4</v>
      </c>
      <c r="B5" s="122" t="s">
        <v>32</v>
      </c>
      <c r="C5" s="123" t="s">
        <v>33</v>
      </c>
      <c r="D5" s="123" t="s">
        <v>7</v>
      </c>
      <c r="E5" s="123" t="s">
        <v>21</v>
      </c>
      <c r="F5" s="124" t="s">
        <v>8</v>
      </c>
      <c r="G5" s="125"/>
      <c r="H5" s="126" t="s">
        <v>34</v>
      </c>
      <c r="I5" s="124"/>
      <c r="J5" s="127" t="s">
        <v>35</v>
      </c>
      <c r="K5" s="128"/>
      <c r="L5" s="129" t="s">
        <v>36</v>
      </c>
      <c r="M5" s="130" t="s">
        <v>37</v>
      </c>
      <c r="N5" s="130" t="s">
        <v>38</v>
      </c>
    </row>
    <row r="6" s="131" customFormat="true" ht="15.75" hidden="false" customHeight="false" outlineLevel="0" collapsed="false">
      <c r="A6" s="121"/>
      <c r="B6" s="122"/>
      <c r="C6" s="123"/>
      <c r="D6" s="123"/>
      <c r="E6" s="123"/>
      <c r="F6" s="132" t="s">
        <v>39</v>
      </c>
      <c r="G6" s="132" t="s">
        <v>40</v>
      </c>
      <c r="H6" s="133" t="s">
        <v>41</v>
      </c>
      <c r="I6" s="132" t="s">
        <v>11</v>
      </c>
      <c r="J6" s="134" t="s">
        <v>42</v>
      </c>
      <c r="K6" s="134" t="s">
        <v>43</v>
      </c>
      <c r="L6" s="129"/>
      <c r="M6" s="130"/>
      <c r="N6" s="130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  <c r="CK6" s="135"/>
      <c r="CL6" s="135"/>
      <c r="CM6" s="135"/>
      <c r="CN6" s="135"/>
      <c r="CO6" s="135"/>
      <c r="CP6" s="135"/>
      <c r="CQ6" s="135"/>
      <c r="CR6" s="135"/>
      <c r="CS6" s="135"/>
      <c r="CT6" s="135"/>
      <c r="CU6" s="135"/>
      <c r="CV6" s="135"/>
      <c r="CW6" s="135"/>
      <c r="CX6" s="135"/>
      <c r="CY6" s="135"/>
      <c r="CZ6" s="135"/>
      <c r="DA6" s="135"/>
      <c r="DB6" s="135"/>
      <c r="DC6" s="135"/>
      <c r="DD6" s="135"/>
      <c r="DE6" s="135"/>
      <c r="DF6" s="135"/>
      <c r="DG6" s="135"/>
      <c r="DH6" s="135"/>
      <c r="DI6" s="135"/>
      <c r="DJ6" s="135"/>
      <c r="DK6" s="135"/>
      <c r="DL6" s="135"/>
      <c r="DM6" s="135"/>
      <c r="DN6" s="135"/>
      <c r="DO6" s="135"/>
      <c r="DP6" s="135"/>
      <c r="DQ6" s="135"/>
      <c r="DR6" s="135"/>
      <c r="DS6" s="135"/>
      <c r="DT6" s="135"/>
      <c r="DU6" s="135"/>
      <c r="DV6" s="135"/>
      <c r="DW6" s="135"/>
      <c r="DX6" s="135"/>
      <c r="DY6" s="135"/>
      <c r="DZ6" s="135"/>
      <c r="EA6" s="135"/>
      <c r="EB6" s="135"/>
      <c r="EC6" s="135"/>
      <c r="ED6" s="135"/>
      <c r="EE6" s="135"/>
      <c r="EF6" s="135"/>
      <c r="EG6" s="135"/>
      <c r="EH6" s="135"/>
      <c r="EI6" s="135"/>
      <c r="EJ6" s="135"/>
      <c r="EK6" s="135"/>
      <c r="EL6" s="135"/>
      <c r="EM6" s="135"/>
      <c r="EN6" s="135"/>
      <c r="EO6" s="135"/>
      <c r="EP6" s="135"/>
      <c r="EQ6" s="135"/>
      <c r="ER6" s="135"/>
      <c r="ES6" s="135"/>
      <c r="ET6" s="135"/>
      <c r="EU6" s="135"/>
      <c r="EV6" s="135"/>
      <c r="EW6" s="135"/>
      <c r="EX6" s="135"/>
      <c r="EY6" s="135"/>
      <c r="EZ6" s="135"/>
      <c r="FA6" s="135"/>
      <c r="FB6" s="135"/>
      <c r="FC6" s="135"/>
      <c r="FD6" s="135"/>
      <c r="FE6" s="135"/>
      <c r="FF6" s="135"/>
      <c r="FG6" s="135"/>
      <c r="FH6" s="135"/>
      <c r="FI6" s="135"/>
      <c r="FJ6" s="135"/>
      <c r="FK6" s="135"/>
      <c r="FL6" s="135"/>
      <c r="FM6" s="135"/>
      <c r="FN6" s="135"/>
      <c r="FO6" s="135"/>
      <c r="FP6" s="135"/>
      <c r="FQ6" s="135"/>
      <c r="FR6" s="135"/>
      <c r="FS6" s="135"/>
      <c r="FT6" s="135"/>
      <c r="FU6" s="135"/>
      <c r="FV6" s="135"/>
      <c r="FW6" s="135"/>
      <c r="FX6" s="135"/>
      <c r="FY6" s="135"/>
      <c r="FZ6" s="135"/>
      <c r="GA6" s="135"/>
      <c r="GB6" s="135"/>
      <c r="GC6" s="135"/>
      <c r="GD6" s="135"/>
      <c r="GE6" s="135"/>
      <c r="GF6" s="135"/>
      <c r="GG6" s="135"/>
      <c r="GH6" s="135"/>
      <c r="GI6" s="135"/>
      <c r="GJ6" s="135"/>
      <c r="GK6" s="135"/>
      <c r="GL6" s="135"/>
      <c r="GM6" s="135"/>
      <c r="GN6" s="135"/>
      <c r="GO6" s="135"/>
      <c r="GP6" s="135"/>
      <c r="GQ6" s="135"/>
      <c r="GR6" s="135"/>
      <c r="GS6" s="135"/>
      <c r="GT6" s="135"/>
      <c r="GU6" s="135"/>
      <c r="GV6" s="135"/>
      <c r="GW6" s="135"/>
      <c r="GX6" s="135"/>
      <c r="GY6" s="135"/>
      <c r="GZ6" s="135"/>
      <c r="HA6" s="135"/>
      <c r="HB6" s="135"/>
      <c r="HC6" s="135"/>
      <c r="HD6" s="135"/>
      <c r="HE6" s="135"/>
      <c r="HF6" s="135"/>
      <c r="HG6" s="135"/>
      <c r="HH6" s="135"/>
      <c r="HI6" s="135"/>
      <c r="HJ6" s="135"/>
      <c r="HK6" s="135"/>
      <c r="HL6" s="135"/>
      <c r="HM6" s="135"/>
      <c r="HN6" s="135"/>
      <c r="HO6" s="135"/>
      <c r="HP6" s="135"/>
      <c r="HQ6" s="135"/>
      <c r="HR6" s="135"/>
      <c r="HS6" s="135"/>
      <c r="HT6" s="135"/>
      <c r="HU6" s="135"/>
      <c r="HV6" s="135"/>
      <c r="HW6" s="135"/>
      <c r="HX6" s="135"/>
      <c r="HY6" s="135"/>
      <c r="HZ6" s="135"/>
      <c r="IA6" s="135"/>
      <c r="IB6" s="135"/>
      <c r="IC6" s="135"/>
      <c r="ID6" s="135"/>
      <c r="IE6" s="135"/>
      <c r="IF6" s="135"/>
      <c r="IG6" s="135"/>
      <c r="IH6" s="135"/>
      <c r="II6" s="135"/>
      <c r="IJ6" s="135"/>
      <c r="IK6" s="135"/>
    </row>
    <row r="7" s="147" customFormat="true" ht="15.75" hidden="false" customHeight="true" outlineLevel="0" collapsed="false">
      <c r="A7" s="136" t="str">
        <f aca="true">TEXT(NOW(), "mm/dd/yyyy")</f>
        <v>05/15/2021</v>
      </c>
      <c r="B7" s="137" t="n">
        <v>123456</v>
      </c>
      <c r="C7" s="138" t="s">
        <v>44</v>
      </c>
      <c r="D7" s="139" t="s">
        <v>45</v>
      </c>
      <c r="E7" s="140" t="n">
        <v>600</v>
      </c>
      <c r="F7" s="140" t="n">
        <f aca="false">IF(D7="CONSULT",ROUND(E7,2), IF(D7="PROCEDURE",ROUND(E7,2), IF(D7="MC",ROUND(E7,2), IF(D7="CONSULT/SLC",ROUND(E7*0.9,2), IF(D7="PROCEDURE/SLC",ROUND(E7*0.9,2), IF(D7="CONSULT/MCDO",ROUND(E7*0.833333,2), ROUND(E7*0.8/1.12,2)))))))</f>
        <v>600</v>
      </c>
      <c r="G7" s="140" t="n">
        <f aca="false">IF(D7="CONSULT", ROUND(F7/1.12*0.12,2), IF(D7="MC", ROUND(F7/1.12*0.12,2), IF(D7="PROCEDURE", ROUND(F7/1.12*0.12,2), IF(D7="CONSULT/SLC",ROUND(F7/1.12*0.12,2), IF(D7="PROCEDURE/SLC",ROUND(F7/1.12*0.12,2), IF(D7="CONSULT/MCDO",ROUND(F7/1.12*0.12,2),0))))))</f>
        <v>64.29</v>
      </c>
      <c r="H7" s="141" t="n">
        <f aca="false">IF(D7="CONSULT",ROUND(F7/1.12*0.7*0.95,2), IF(D7="MC", ROUND(F7/1.12*0.7*0.95,2), IF(D7="PROCEDURE",ROUND(F7/1.12*0.7*0.95,2), IF(D7="CONSULT/SLC",ROUND(F7/1.12*0.7*0.95,2),IF(D7="PROCEDURE/SLC",ROUND(F7/1.12*0.7*0.95,2),IF(D7="CONSULT/MCDO",ROUND(F7/1.12*0.7*0.95,2),ROUND(F7*0.7*0.95,2)))))))</f>
        <v>356.25</v>
      </c>
      <c r="I7" s="141" t="n">
        <f aca="false">IF(D7="CONSULT",ROUND(F7/1.12*0.7*0.05,2),IF(D7="MC", ROUND(F7/1.12*0.7*0.05,2), IF(D7="PROCEDURE",ROUND(F7/1.12*0.7*0.05,2), IF(D7="CONSULT/SLC",ROUND(F7/1.12*0.7*0.05,2),IF(D7="PROCEDURE/SLC",ROUND(F7/1.12*0.7*0.05,2),IF(D7="CONSULT/MCDO",ROUND(F7/1.12*0.7*0.05,2),ROUND(F7*0.7*0.05,2)))))))</f>
        <v>18.75</v>
      </c>
      <c r="J7" s="140" t="n">
        <f aca="false">IF(D7="CONSULT",ROUND(F7/1.12*0.3,2),IF(D7="MC", ROUND(F7/1.12*0.3,2), IF(D7="PROCEDURE",ROUND(F7/1.12*0.3,2), IF(D7="CONSULT/SLC",ROUND(F7/1.12*0.3,2),IF(D7="PROCEDURE/SLC",ROUND(F7/1.12*0.3,2),IF(D7="CONSULT/MCDO",ROUND(F7/1.12*0.3,2),ROUND(F7*0.3,2)))))))</f>
        <v>160.71</v>
      </c>
      <c r="K7" s="142" t="n">
        <f aca="false">+F7-G7-H7-I7-J7</f>
        <v>0</v>
      </c>
      <c r="L7" s="143"/>
      <c r="M7" s="144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  <c r="GW7" s="146"/>
      <c r="GX7" s="146"/>
      <c r="GY7" s="146"/>
      <c r="GZ7" s="146"/>
      <c r="HA7" s="146"/>
      <c r="HB7" s="146"/>
      <c r="HC7" s="146"/>
      <c r="HD7" s="146"/>
      <c r="HE7" s="146"/>
      <c r="HF7" s="146"/>
      <c r="HG7" s="146"/>
      <c r="HH7" s="146"/>
      <c r="HI7" s="146"/>
      <c r="HJ7" s="146"/>
      <c r="HK7" s="146"/>
      <c r="HL7" s="146"/>
      <c r="HM7" s="146"/>
      <c r="HN7" s="146"/>
      <c r="HO7" s="146"/>
      <c r="HP7" s="146"/>
      <c r="HQ7" s="146"/>
      <c r="HR7" s="146"/>
      <c r="HS7" s="146"/>
      <c r="HT7" s="146"/>
      <c r="HU7" s="146"/>
      <c r="HV7" s="146"/>
      <c r="HW7" s="146"/>
      <c r="HX7" s="146"/>
      <c r="HY7" s="146"/>
      <c r="HZ7" s="146"/>
      <c r="IA7" s="146"/>
      <c r="IB7" s="146"/>
      <c r="IC7" s="146"/>
      <c r="ID7" s="146"/>
      <c r="IE7" s="146"/>
      <c r="IF7" s="146"/>
      <c r="IG7" s="146"/>
      <c r="IH7" s="146"/>
      <c r="II7" s="146"/>
      <c r="IJ7" s="146"/>
      <c r="IK7" s="146"/>
    </row>
    <row r="8" s="152" customFormat="true" ht="13.8" hidden="false" customHeight="false" outlineLevel="0" collapsed="false">
      <c r="A8" s="136"/>
      <c r="B8" s="148"/>
      <c r="C8" s="149"/>
      <c r="D8" s="139"/>
      <c r="E8" s="140"/>
      <c r="F8" s="140" t="n">
        <f aca="false">IF(D8="CONSULT",ROUND(E8,2), IF(D8="PROCEDURE",ROUND(E8,2), IF(D8="MC",ROUND(E8,2), IF(D8="CONSULT/SLC",ROUND(E8*0.9,2), IF(D8="PROCEDURE/SLC",ROUND(E8*0.9,2), IF(D8="CONSULT/MCDO",ROUND(E8*0.833333,2), ROUND(E8*0.8/1.12,2)))))))</f>
        <v>0</v>
      </c>
      <c r="G8" s="140" t="n">
        <f aca="false">IF(D8="CONSULT", ROUND(F8/1.12*0.12,2), IF(D8="MC", ROUND(F8/1.12*0.12,2), IF(D8="PROCEDURE", ROUND(F8/1.12*0.12,2), IF(D8="CONSULT/SLC",ROUND(F8/1.12*0.12,2), IF(D8="PROCEDURE/SLC",ROUND(F8/1.12*0.12,2), IF(D8="CONSULT/MCDO",ROUND(F8/1.12*0.12,2),0))))))</f>
        <v>0</v>
      </c>
      <c r="H8" s="141" t="n">
        <f aca="false">IF(D8="CONSULT",ROUND(F8/1.12*0.7*0.95,2), IF(D8="MC", ROUND(F8/1.12*0.7*0.95,2), IF(D8="PROCEDURE",ROUND(F8/1.12*0.7*0.95,2), IF(D8="CONSULT/SLC",ROUND(F8/1.12*0.7*0.95,2),IF(D8="PROCEDURE/SLC",ROUND(F8/1.12*0.7*0.95,2),IF(D8="CONSULT/MCDO",ROUND(F8/1.12*0.7*0.95,2),ROUND(F8*0.7*0.95,2)))))))</f>
        <v>0</v>
      </c>
      <c r="I8" s="141" t="n">
        <f aca="false">IF(D8="CONSULT",ROUND(F8/1.12*0.7*0.05,2),IF(D8="MC", ROUND(F8/1.12*0.7*0.05,2), IF(D8="PROCEDURE",ROUND(F8/1.12*0.7*0.05,2), IF(D8="CONSULT/SLC",ROUND(F8/1.12*0.7*0.05,2),IF(D8="PROCEDURE/SLC",ROUND(F8/1.12*0.7*0.05,2),IF(D8="CONSULT/MCDO",ROUND(F8/1.12*0.7*0.05,2),ROUND(F8*0.7*0.05,2)))))))</f>
        <v>0</v>
      </c>
      <c r="J8" s="140" t="n">
        <f aca="false">IF(D8="CONSULT",ROUND(F8/1.12*0.3,2),IF(D8="MC", ROUND(F8/1.12*0.3,2), IF(D8="PROCEDURE",ROUND(F8/1.12*0.3,2), IF(D8="CONSULT/SLC",ROUND(F8/1.12*0.3,2),IF(D8="PROCEDURE/SLC",ROUND(F8/1.12*0.3,2),IF(D8="CONSULT/MCDO",ROUND(F8/1.12*0.3,2),ROUND(F8*0.3,2)))))))</f>
        <v>0</v>
      </c>
      <c r="K8" s="142" t="n">
        <f aca="false">+F8-G8-H8-I8-J8</f>
        <v>0</v>
      </c>
      <c r="L8" s="142"/>
      <c r="M8" s="144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151"/>
      <c r="DS8" s="151"/>
      <c r="DT8" s="151"/>
      <c r="DU8" s="151"/>
      <c r="DV8" s="151"/>
      <c r="DW8" s="151"/>
      <c r="DX8" s="151"/>
      <c r="DY8" s="151"/>
      <c r="DZ8" s="151"/>
      <c r="EA8" s="151"/>
      <c r="EB8" s="151"/>
      <c r="EC8" s="151"/>
      <c r="ED8" s="151"/>
      <c r="EE8" s="151"/>
      <c r="EF8" s="151"/>
      <c r="EG8" s="151"/>
      <c r="EH8" s="151"/>
      <c r="EI8" s="151"/>
      <c r="EJ8" s="151"/>
      <c r="EK8" s="151"/>
      <c r="EL8" s="151"/>
      <c r="EM8" s="151"/>
      <c r="EN8" s="151"/>
      <c r="EO8" s="151"/>
      <c r="EP8" s="151"/>
      <c r="EQ8" s="151"/>
      <c r="ER8" s="151"/>
      <c r="ES8" s="151"/>
      <c r="ET8" s="151"/>
      <c r="EU8" s="151"/>
      <c r="EV8" s="151"/>
      <c r="EW8" s="151"/>
      <c r="EX8" s="151"/>
      <c r="EY8" s="151"/>
      <c r="EZ8" s="151"/>
      <c r="FA8" s="151"/>
      <c r="FB8" s="151"/>
      <c r="FC8" s="151"/>
      <c r="FD8" s="151"/>
      <c r="FE8" s="151"/>
      <c r="FF8" s="151"/>
      <c r="FG8" s="151"/>
      <c r="FH8" s="151"/>
      <c r="FI8" s="151"/>
      <c r="FJ8" s="151"/>
      <c r="FK8" s="151"/>
      <c r="FL8" s="151"/>
      <c r="FM8" s="151"/>
      <c r="FN8" s="151"/>
      <c r="FO8" s="151"/>
      <c r="FP8" s="151"/>
      <c r="FQ8" s="151"/>
      <c r="FR8" s="151"/>
      <c r="FS8" s="151"/>
      <c r="FT8" s="151"/>
      <c r="FU8" s="151"/>
      <c r="FV8" s="151"/>
      <c r="FW8" s="151"/>
      <c r="FX8" s="151"/>
      <c r="FY8" s="151"/>
      <c r="FZ8" s="151"/>
      <c r="GA8" s="151"/>
      <c r="GB8" s="151"/>
      <c r="GC8" s="151"/>
      <c r="GD8" s="151"/>
      <c r="GE8" s="151"/>
      <c r="GF8" s="151"/>
      <c r="GG8" s="151"/>
      <c r="GH8" s="151"/>
      <c r="GI8" s="151"/>
      <c r="GJ8" s="151"/>
      <c r="GK8" s="151"/>
      <c r="GL8" s="151"/>
      <c r="GM8" s="151"/>
      <c r="GN8" s="151"/>
      <c r="GO8" s="151"/>
      <c r="GP8" s="151"/>
      <c r="GQ8" s="151"/>
      <c r="GR8" s="151"/>
      <c r="GS8" s="151"/>
      <c r="GT8" s="151"/>
      <c r="GU8" s="151"/>
      <c r="GV8" s="151"/>
      <c r="GW8" s="151"/>
      <c r="GX8" s="151"/>
      <c r="GY8" s="151"/>
      <c r="GZ8" s="151"/>
      <c r="HA8" s="151"/>
      <c r="HB8" s="151"/>
      <c r="HC8" s="151"/>
      <c r="HD8" s="151"/>
      <c r="HE8" s="151"/>
      <c r="HF8" s="151"/>
      <c r="HG8" s="151"/>
      <c r="HH8" s="151"/>
      <c r="HI8" s="151"/>
      <c r="HJ8" s="151"/>
      <c r="HK8" s="151"/>
      <c r="HL8" s="151"/>
      <c r="HM8" s="151"/>
      <c r="HN8" s="151"/>
      <c r="HO8" s="151"/>
      <c r="HP8" s="151"/>
      <c r="HQ8" s="151"/>
      <c r="HR8" s="151"/>
      <c r="HS8" s="151"/>
      <c r="HT8" s="151"/>
      <c r="HU8" s="151"/>
      <c r="HV8" s="151"/>
      <c r="HW8" s="151"/>
      <c r="HX8" s="151"/>
      <c r="HY8" s="151"/>
      <c r="HZ8" s="151"/>
      <c r="IA8" s="151"/>
      <c r="IB8" s="151"/>
      <c r="IC8" s="151"/>
      <c r="ID8" s="151"/>
      <c r="IE8" s="151"/>
      <c r="IF8" s="151"/>
      <c r="IG8" s="151"/>
      <c r="IH8" s="151"/>
      <c r="II8" s="151"/>
      <c r="IJ8" s="151"/>
      <c r="IK8" s="151"/>
    </row>
    <row r="9" customFormat="false" ht="15" hidden="false" customHeight="true" outlineLevel="0" collapsed="false">
      <c r="A9" s="136"/>
      <c r="B9" s="137"/>
      <c r="C9" s="149"/>
      <c r="D9" s="153"/>
      <c r="E9" s="140"/>
      <c r="F9" s="140" t="n">
        <f aca="false">IF(D9="CONSULT",ROUND(E9,2), IF(D9="PROCEDURE",ROUND(E9,2), IF(D9="MC",ROUND(E9,2), IF(D9="CONSULT/SLC",ROUND(E9*0.9,2), IF(D9="PROCEDURE/SLC",ROUND(E9*0.9,2), IF(D9="CONSULT/MCDO",ROUND(E9*0.833333,2), ROUND(E9*0.8/1.12,2)))))))</f>
        <v>0</v>
      </c>
      <c r="G9" s="140" t="n">
        <f aca="false">IF(D9="CONSULT", ROUND(F9/1.12*0.12,2), IF(D9="MC", ROUND(F9/1.12*0.12,2), IF(D9="PROCEDURE", ROUND(F9/1.12*0.12,2), IF(D9="CONSULT/SLC",ROUND(F9/1.12*0.12,2), IF(D9="PROCEDURE/SLC",ROUND(F9/1.12*0.12,2), IF(D9="CONSULT/MCDO",ROUND(F9/1.12*0.12,2),0))))))</f>
        <v>0</v>
      </c>
      <c r="H9" s="141" t="n">
        <f aca="false">IF(D9="CONSULT",ROUND(F9/1.12*0.7*0.95,2), IF(D9="MC", ROUND(F9/1.12*0.7*0.95,2), IF(D9="PROCEDURE",ROUND(F9/1.12*0.7*0.95,2), IF(D9="CONSULT/SLC",ROUND(F9/1.12*0.7*0.95,2),IF(D9="PROCEDURE/SLC",ROUND(F9/1.12*0.7*0.95,2),IF(D9="CONSULT/MCDO",ROUND(F9/1.12*0.7*0.95,2),ROUND(F9*0.7*0.95,2)))))))</f>
        <v>0</v>
      </c>
      <c r="I9" s="141" t="n">
        <f aca="false">IF(D9="CONSULT",ROUND(F9/1.12*0.7*0.05,2),IF(D9="MC", ROUND(F9/1.12*0.7*0.05,2), IF(D9="PROCEDURE",ROUND(F9/1.12*0.7*0.05,2), IF(D9="CONSULT/SLC",ROUND(F9/1.12*0.7*0.05,2),IF(D9="PROCEDURE/SLC",ROUND(F9/1.12*0.7*0.05,2),IF(D9="CONSULT/MCDO",ROUND(F9/1.12*0.7*0.05,2),ROUND(F9*0.7*0.05,2)))))))</f>
        <v>0</v>
      </c>
      <c r="J9" s="140" t="n">
        <f aca="false">IF(D9="CONSULT",ROUND(F9/1.12*0.3,2),IF(D9="MC", ROUND(F9/1.12*0.3,2), IF(D9="PROCEDURE",ROUND(F9/1.12*0.3,2), IF(D9="CONSULT/SLC",ROUND(F9/1.12*0.3,2),IF(D9="PROCEDURE/SLC",ROUND(F9/1.12*0.3,2),IF(D9="CONSULT/MCDO",ROUND(F9/1.12*0.3,2),ROUND(F9*0.3,2)))))))</f>
        <v>0</v>
      </c>
      <c r="K9" s="142" t="n">
        <f aca="false">+F9-G9-H9-I9-J9</f>
        <v>0</v>
      </c>
      <c r="L9" s="143"/>
      <c r="M9" s="144"/>
      <c r="N9" s="116"/>
      <c r="O9" s="116"/>
      <c r="P9" s="116"/>
      <c r="Q9" s="116"/>
      <c r="R9" s="116"/>
      <c r="S9" s="116"/>
      <c r="T9" s="116"/>
      <c r="U9" s="116"/>
      <c r="V9" s="116"/>
      <c r="W9" s="116"/>
    </row>
    <row r="10" customFormat="false" ht="14.25" hidden="false" customHeight="true" outlineLevel="0" collapsed="false">
      <c r="A10" s="138"/>
      <c r="B10" s="148"/>
      <c r="C10" s="149"/>
      <c r="D10" s="153"/>
      <c r="E10" s="140"/>
      <c r="F10" s="140" t="n">
        <f aca="false">IF(D10="CONSULT",ROUND(E10,2), IF(D10="PROCEDURE",ROUND(E10,2), IF(D10="MC",ROUND(E10,2), IF(D10="CONSULT/SLC",ROUND(E10*0.9,2), IF(D10="PROCEDURE/SLC",ROUND(E10*0.9,2), IF(D10="CONSULT/MCDO",ROUND(E10*0.833333,2), ROUND(E10*0.8/1.12,2)))))))</f>
        <v>0</v>
      </c>
      <c r="G10" s="140" t="n">
        <f aca="false">IF(D10="CONSULT", ROUND(F10/1.12*0.12,2), IF(D10="MC", ROUND(F10/1.12*0.12,2), IF(D10="PROCEDURE", ROUND(F10/1.12*0.12,2), IF(D10="CONSULT/SLC",ROUND(F10/1.12*0.12,2), IF(D10="PROCEDURE/SLC",ROUND(F10/1.12*0.12,2), IF(D10="CONSULT/MCDO",ROUND(F10/1.12*0.12,2),0))))))</f>
        <v>0</v>
      </c>
      <c r="H10" s="141" t="n">
        <f aca="false">IF(D10="CONSULT",ROUND(F10/1.12*0.7*0.95,2), IF(D10="MC", ROUND(F10/1.12*0.7*0.95,2), IF(D10="PROCEDURE",ROUND(F10/1.12*0.7*0.95,2), IF(D10="CONSULT/SLC",ROUND(F10/1.12*0.7*0.95,2),IF(D10="PROCEDURE/SLC",ROUND(F10/1.12*0.7*0.95,2),IF(D10="CONSULT/MCDO",ROUND(F10/1.12*0.7*0.95,2),ROUND(F10*0.7*0.95,2)))))))</f>
        <v>0</v>
      </c>
      <c r="I10" s="141" t="n">
        <f aca="false">IF(D10="CONSULT",ROUND(F10/1.12*0.7*0.05,2),IF(D10="MC", ROUND(F10/1.12*0.7*0.05,2), IF(D10="PROCEDURE",ROUND(F10/1.12*0.7*0.05,2), IF(D10="CONSULT/SLC",ROUND(F10/1.12*0.7*0.05,2),IF(D10="PROCEDURE/SLC",ROUND(F10/1.12*0.7*0.05,2),IF(D10="CONSULT/MCDO",ROUND(F10/1.12*0.7*0.05,2),ROUND(F10*0.7*0.05,2)))))))</f>
        <v>0</v>
      </c>
      <c r="J10" s="140" t="n">
        <f aca="false">IF(D10="CONSULT",ROUND(F10/1.12*0.3,2),IF(D10="MC", ROUND(F10/1.12*0.3,2), IF(D10="PROCEDURE",ROUND(F10/1.12*0.3,2), IF(D10="CONSULT/SLC",ROUND(F10/1.12*0.3,2),IF(D10="PROCEDURE/SLC",ROUND(F10/1.12*0.3,2),IF(D10="CONSULT/MCDO",ROUND(F10/1.12*0.3,2),ROUND(F10*0.3,2)))))))</f>
        <v>0</v>
      </c>
      <c r="K10" s="142" t="n">
        <f aca="false">+F10-G10-H10-I10-J10</f>
        <v>0</v>
      </c>
      <c r="L10" s="7"/>
      <c r="M10" s="144"/>
      <c r="N10" s="116"/>
      <c r="O10" s="116"/>
      <c r="P10" s="116"/>
      <c r="Q10" s="116"/>
      <c r="R10" s="116"/>
      <c r="S10" s="116"/>
      <c r="T10" s="116"/>
      <c r="U10" s="116"/>
      <c r="V10" s="116"/>
      <c r="W10" s="116"/>
    </row>
    <row r="11" customFormat="false" ht="15.75" hidden="false" customHeight="true" outlineLevel="0" collapsed="false">
      <c r="A11" s="138"/>
      <c r="B11" s="148"/>
      <c r="C11" s="149"/>
      <c r="D11" s="153"/>
      <c r="E11" s="140"/>
      <c r="F11" s="140" t="n">
        <f aca="false">IF(D11="CONSULT",ROUND(E11,2), IF(D11="PROCEDURE",ROUND(E11,2), IF(D11="MC",ROUND(E11,2), IF(D11="CONSULT/SLC",ROUND(E11*0.9,2), IF(D11="PROCEDURE/SLC",ROUND(E11*0.9,2), IF(D11="CONSULT/MCDO",ROUND(E11*0.833333,2), ROUND(E11*0.8/1.12,2)))))))</f>
        <v>0</v>
      </c>
      <c r="G11" s="140" t="n">
        <f aca="false">IF(D11="CONSULT", ROUND(F11/1.12*0.12,2), IF(D11="MC", ROUND(F11/1.12*0.12,2), IF(D11="PROCEDURE", ROUND(F11/1.12*0.12,2), IF(D11="CONSULT/SLC",ROUND(F11/1.12*0.12,2), IF(D11="PROCEDURE/SLC",ROUND(F11/1.12*0.12,2), IF(D11="CONSULT/MCDO",ROUND(F11/1.12*0.12,2),0))))))</f>
        <v>0</v>
      </c>
      <c r="H11" s="141" t="n">
        <f aca="false">IF(D11="CONSULT",ROUND(F11/1.12*0.7*0.95,2), IF(D11="MC", ROUND(F11/1.12*0.7*0.95,2), IF(D11="PROCEDURE",ROUND(F11/1.12*0.7*0.95,2), IF(D11="CONSULT/SLC",ROUND(F11/1.12*0.7*0.95,2),IF(D11="PROCEDURE/SLC",ROUND(F11/1.12*0.7*0.95,2),IF(D11="CONSULT/MCDO",ROUND(F11/1.12*0.7*0.95,2),ROUND(F11*0.7*0.95,2)))))))</f>
        <v>0</v>
      </c>
      <c r="I11" s="141" t="n">
        <f aca="false">IF(D11="CONSULT",ROUND(F11/1.12*0.7*0.05,2),IF(D11="MC", ROUND(F11/1.12*0.7*0.05,2), IF(D11="PROCEDURE",ROUND(F11/1.12*0.7*0.05,2), IF(D11="CONSULT/SLC",ROUND(F11/1.12*0.7*0.05,2),IF(D11="PROCEDURE/SLC",ROUND(F11/1.12*0.7*0.05,2),IF(D11="CONSULT/MCDO",ROUND(F11/1.12*0.7*0.05,2),ROUND(F11*0.7*0.05,2)))))))</f>
        <v>0</v>
      </c>
      <c r="J11" s="140" t="n">
        <f aca="false">IF(D11="CONSULT",ROUND(F11/1.12*0.3,2),IF(D11="MC", ROUND(F11/1.12*0.3,2), IF(D11="PROCEDURE",ROUND(F11/1.12*0.3,2), IF(D11="CONSULT/SLC",ROUND(F11/1.12*0.3,2),IF(D11="PROCEDURE/SLC",ROUND(F11/1.12*0.3,2),IF(D11="CONSULT/MCDO",ROUND(F11/1.12*0.3,2),ROUND(F11*0.3,2)))))))</f>
        <v>0</v>
      </c>
      <c r="K11" s="142" t="n">
        <f aca="false">+F11-G11-H11-I11-J11</f>
        <v>0</v>
      </c>
      <c r="L11" s="7"/>
      <c r="M11" s="144"/>
      <c r="N11" s="116"/>
      <c r="O11" s="116"/>
      <c r="P11" s="116"/>
      <c r="Q11" s="116"/>
      <c r="R11" s="116"/>
      <c r="S11" s="116"/>
      <c r="T11" s="116"/>
      <c r="U11" s="116"/>
      <c r="V11" s="116"/>
      <c r="W11" s="116"/>
    </row>
    <row r="12" customFormat="false" ht="15" hidden="false" customHeight="true" outlineLevel="0" collapsed="false">
      <c r="A12" s="138"/>
      <c r="B12" s="148"/>
      <c r="C12" s="149"/>
      <c r="D12" s="153"/>
      <c r="E12" s="140"/>
      <c r="F12" s="140" t="n">
        <f aca="false">IF(D12="CONSULT",ROUND(E12,2), IF(D12="PROCEDURE",ROUND(E12,2), IF(D12="MC",ROUND(E12,2), IF(D12="CONSULT/SLC",ROUND(E12*0.9,2), IF(D12="PROCEDURE/SLC",ROUND(E12*0.9,2), IF(D12="CONSULT/MCDO",ROUND(E12*0.833333,2), ROUND(E12*0.8/1.12,2)))))))</f>
        <v>0</v>
      </c>
      <c r="G12" s="140" t="n">
        <f aca="false">IF(D12="CONSULT", ROUND(F12/1.12*0.12,2), IF(D12="MC", ROUND(F12/1.12*0.12,2), IF(D12="PROCEDURE", ROUND(F12/1.12*0.12,2), IF(D12="CONSULT/SLC",ROUND(F12/1.12*0.12,2), IF(D12="PROCEDURE/SLC",ROUND(F12/1.12*0.12,2), IF(D12="CONSULT/MCDO",ROUND(F12/1.12*0.12,2),0))))))</f>
        <v>0</v>
      </c>
      <c r="H12" s="141" t="n">
        <f aca="false">IF(D12="CONSULT",ROUND(F12/1.12*0.7*0.95,2), IF(D12="MC", ROUND(F12/1.12*0.7*0.95,2), IF(D12="PROCEDURE",ROUND(F12/1.12*0.7*0.95,2), IF(D12="CONSULT/SLC",ROUND(F12/1.12*0.7*0.95,2),IF(D12="PROCEDURE/SLC",ROUND(F12/1.12*0.7*0.95,2),IF(D12="CONSULT/MCDO",ROUND(F12/1.12*0.7*0.95,2),ROUND(F12*0.7*0.95,2)))))))</f>
        <v>0</v>
      </c>
      <c r="I12" s="141" t="n">
        <f aca="false">IF(D12="CONSULT",ROUND(F12/1.12*0.7*0.05,2),IF(D12="MC", ROUND(F12/1.12*0.7*0.05,2), IF(D12="PROCEDURE",ROUND(F12/1.12*0.7*0.05,2), IF(D12="CONSULT/SLC",ROUND(F12/1.12*0.7*0.05,2),IF(D12="PROCEDURE/SLC",ROUND(F12/1.12*0.7*0.05,2),IF(D12="CONSULT/MCDO",ROUND(F12/1.12*0.7*0.05,2),ROUND(F12*0.7*0.05,2)))))))</f>
        <v>0</v>
      </c>
      <c r="J12" s="140" t="n">
        <f aca="false">IF(D12="CONSULT",ROUND(F12/1.12*0.3,2),IF(D12="MC", ROUND(F12/1.12*0.3,2), IF(D12="PROCEDURE",ROUND(F12/1.12*0.3,2), IF(D12="CONSULT/SLC",ROUND(F12/1.12*0.3,2),IF(D12="PROCEDURE/SLC",ROUND(F12/1.12*0.3,2),IF(D12="CONSULT/MCDO",ROUND(F12/1.12*0.3,2),ROUND(F12*0.3,2)))))))</f>
        <v>0</v>
      </c>
      <c r="K12" s="142" t="n">
        <f aca="false">+F12-G12-H12-I12-J12</f>
        <v>0</v>
      </c>
      <c r="L12" s="7"/>
      <c r="M12" s="144"/>
      <c r="N12" s="116"/>
      <c r="O12" s="116"/>
      <c r="P12" s="116"/>
      <c r="Q12" s="116"/>
      <c r="R12" s="116"/>
      <c r="S12" s="116"/>
      <c r="T12" s="116"/>
      <c r="U12" s="116"/>
      <c r="V12" s="116"/>
      <c r="W12" s="116"/>
    </row>
    <row r="13" customFormat="false" ht="15" hidden="false" customHeight="false" outlineLevel="0" collapsed="false">
      <c r="A13" s="138"/>
      <c r="B13" s="148"/>
      <c r="C13" s="149"/>
      <c r="D13" s="153"/>
      <c r="E13" s="140"/>
      <c r="F13" s="140" t="n">
        <f aca="false">IF(D13="CONSULT",ROUND(E13,2), IF(D13="PROCEDURE",ROUND(E13,2), IF(D13="MC",ROUND(E13,2), IF(D13="CONSULT/SLC",ROUND(E13*0.9,2), IF(D13="PROCEDURE/SLC",ROUND(E13*0.9,2), IF(D13="CONSULT/MCDO",ROUND(E13*0.833333,2), ROUND(E13*0.8/1.12,2)))))))</f>
        <v>0</v>
      </c>
      <c r="G13" s="140" t="n">
        <f aca="false">IF(D13="CONSULT", ROUND(F13/1.12*0.12,2), IF(D13="MC", ROUND(F13/1.12*0.12,2), IF(D13="PROCEDURE", ROUND(F13/1.12*0.12,2), IF(D13="CONSULT/SLC",ROUND(F13/1.12*0.12,2), IF(D13="PROCEDURE/SLC",ROUND(F13/1.12*0.12,2), IF(D13="CONSULT/MCDO",ROUND(F13/1.12*0.12,2),0))))))</f>
        <v>0</v>
      </c>
      <c r="H13" s="141" t="n">
        <f aca="false">IF(D13="CONSULT",ROUND(F13/1.12*0.7*0.95,2), IF(D13="MC", ROUND(F13/1.12*0.7*0.95,2), IF(D13="PROCEDURE",ROUND(F13/1.12*0.7*0.95,2), IF(D13="CONSULT/SLC",ROUND(F13/1.12*0.7*0.95,2),IF(D13="PROCEDURE/SLC",ROUND(F13/1.12*0.7*0.95,2),IF(D13="CONSULT/MCDO",ROUND(F13/1.12*0.7*0.95,2),ROUND(F13*0.7*0.95,2)))))))</f>
        <v>0</v>
      </c>
      <c r="I13" s="141" t="n">
        <f aca="false">IF(D13="CONSULT",ROUND(F13/1.12*0.7*0.05,2),IF(D13="MC", ROUND(F13/1.12*0.7*0.05,2), IF(D13="PROCEDURE",ROUND(F13/1.12*0.7*0.05,2), IF(D13="CONSULT/SLC",ROUND(F13/1.12*0.7*0.05,2),IF(D13="PROCEDURE/SLC",ROUND(F13/1.12*0.7*0.05,2),IF(D13="CONSULT/MCDO",ROUND(F13/1.12*0.7*0.05,2),ROUND(F13*0.7*0.05,2)))))))</f>
        <v>0</v>
      </c>
      <c r="J13" s="140" t="n">
        <f aca="false">IF(D13="CONSULT",ROUND(F13/1.12*0.3,2),IF(D13="MC", ROUND(F13/1.12*0.3,2), IF(D13="PROCEDURE",ROUND(F13/1.12*0.3,2), IF(D13="CONSULT/SLC",ROUND(F13/1.12*0.3,2),IF(D13="PROCEDURE/SLC",ROUND(F13/1.12*0.3,2),IF(D13="CONSULT/MCDO",ROUND(F13/1.12*0.3,2),ROUND(F13*0.3,2)))))))</f>
        <v>0</v>
      </c>
      <c r="K13" s="142" t="n">
        <f aca="false">+F13-G13-H13-I13-J13</f>
        <v>0</v>
      </c>
      <c r="L13" s="7"/>
      <c r="M13" s="144"/>
      <c r="N13" s="116"/>
      <c r="O13" s="116"/>
      <c r="P13" s="116"/>
      <c r="Q13" s="116"/>
      <c r="R13" s="116"/>
      <c r="S13" s="116"/>
      <c r="T13" s="116"/>
      <c r="U13" s="116"/>
      <c r="V13" s="116"/>
      <c r="W13" s="116"/>
    </row>
    <row r="14" customFormat="false" ht="15" hidden="false" customHeight="false" outlineLevel="0" collapsed="false">
      <c r="A14" s="138"/>
      <c r="B14" s="148"/>
      <c r="C14" s="138"/>
      <c r="D14" s="153"/>
      <c r="E14" s="140"/>
      <c r="F14" s="140" t="n">
        <f aca="false">IF(D14="CONSULT",ROUND(E14,2), IF(D14="PROCEDURE",ROUND(E14,2), IF(D14="MC",ROUND(E14,2), IF(D14="CONSULT/SLC",ROUND(E14*0.9,2), IF(D14="PROCEDURE/SLC",ROUND(E14*0.9,2), IF(D14="CONSULT/MCDO",ROUND(E14*0.833333,2), ROUND(E14*0.8/1.12,2)))))))</f>
        <v>0</v>
      </c>
      <c r="G14" s="140" t="n">
        <f aca="false">IF(D14="CONSULT", ROUND(F14/1.12*0.12,2), IF(D14="MC", ROUND(F14/1.12*0.12,2), IF(D14="PROCEDURE", ROUND(F14/1.12*0.12,2), IF(D14="CONSULT/SLC",ROUND(F14/1.12*0.12,2), IF(D14="PROCEDURE/SLC",ROUND(F14/1.12*0.12,2), IF(D14="CONSULT/MCDO",ROUND(F14/1.12*0.12,2),0))))))</f>
        <v>0</v>
      </c>
      <c r="H14" s="141" t="n">
        <f aca="false">IF(D14="CONSULT",ROUND(F14/1.12*0.7*0.95,2), IF(D14="MC", ROUND(F14/1.12*0.7*0.95,2), IF(D14="PROCEDURE",ROUND(F14/1.12*0.7*0.95,2), IF(D14="CONSULT/SLC",ROUND(F14/1.12*0.7*0.95,2),IF(D14="PROCEDURE/SLC",ROUND(F14/1.12*0.7*0.95,2),IF(D14="CONSULT/MCDO",ROUND(F14/1.12*0.7*0.95,2),ROUND(F14*0.7*0.95,2)))))))</f>
        <v>0</v>
      </c>
      <c r="I14" s="141" t="n">
        <f aca="false">IF(D14="CONSULT",ROUND(F14/1.12*0.7*0.05,2),IF(D14="MC", ROUND(F14/1.12*0.7*0.05,2), IF(D14="PROCEDURE",ROUND(F14/1.12*0.7*0.05,2), IF(D14="CONSULT/SLC",ROUND(F14/1.12*0.7*0.05,2),IF(D14="PROCEDURE/SLC",ROUND(F14/1.12*0.7*0.05,2),IF(D14="CONSULT/MCDO",ROUND(F14/1.12*0.7*0.05,2),ROUND(F14*0.7*0.05,2)))))))</f>
        <v>0</v>
      </c>
      <c r="J14" s="140" t="n">
        <f aca="false">IF(D14="CONSULT",ROUND(F14/1.12*0.3,2),IF(D14="MC", ROUND(F14/1.12*0.3,2), IF(D14="PROCEDURE",ROUND(F14/1.12*0.3,2), IF(D14="CONSULT/SLC",ROUND(F14/1.12*0.3,2),IF(D14="PROCEDURE/SLC",ROUND(F14/1.12*0.3,2),IF(D14="CONSULT/MCDO",ROUND(F14/1.12*0.3,2),ROUND(F14*0.3,2)))))))</f>
        <v>0</v>
      </c>
      <c r="K14" s="142" t="n">
        <f aca="false">+F14-G14-H14-I14-J14</f>
        <v>0</v>
      </c>
      <c r="L14" s="7"/>
      <c r="M14" s="154"/>
      <c r="N14" s="116"/>
      <c r="O14" s="116"/>
      <c r="P14" s="116"/>
      <c r="Q14" s="116"/>
      <c r="R14" s="116"/>
      <c r="S14" s="116"/>
      <c r="T14" s="116"/>
      <c r="U14" s="116"/>
      <c r="V14" s="116"/>
      <c r="W14" s="116"/>
    </row>
    <row r="15" customFormat="false" ht="15" hidden="false" customHeight="false" outlineLevel="0" collapsed="false">
      <c r="A15" s="155"/>
      <c r="B15" s="148"/>
      <c r="C15" s="149"/>
      <c r="D15" s="153"/>
      <c r="E15" s="140"/>
      <c r="F15" s="140" t="n">
        <f aca="false">IF(D15="CONSULT",ROUND(E15,2), IF(D15="PROCEDURE",ROUND(E15,2), IF(D15="MC",ROUND(E15,2), IF(D15="CONSULT/SLC",ROUND(E15*0.9,2), IF(D15="PROCEDURE/SLC",ROUND(E15*0.9,2), IF(D15="CONSULT/MCDO",ROUND(E15*0.833333,2), ROUND(E15*0.8/1.12,2)))))))</f>
        <v>0</v>
      </c>
      <c r="G15" s="140" t="n">
        <f aca="false">IF(D15="CONSULT", ROUND(F15/1.12*0.12,2), IF(D15="MC", ROUND(F15/1.12*0.12,2), IF(D15="PROCEDURE", ROUND(F15/1.12*0.12,2), IF(D15="CONSULT/SLC",ROUND(F15/1.12*0.12,2), IF(D15="PROCEDURE/SLC",ROUND(F15/1.12*0.12,2), IF(D15="CONSULT/MCDO",ROUND(F15/1.12*0.12,2),0))))))</f>
        <v>0</v>
      </c>
      <c r="H15" s="141" t="n">
        <f aca="false">IF(D15="CONSULT",ROUND(F15/1.12*0.7*0.95,2), IF(D15="MC", ROUND(F15/1.12*0.7*0.95,2), IF(D15="PROCEDURE",ROUND(F15/1.12*0.7*0.95,2), IF(D15="CONSULT/SLC",ROUND(F15/1.12*0.7*0.95,2),IF(D15="PROCEDURE/SLC",ROUND(F15/1.12*0.7*0.95,2),IF(D15="CONSULT/MCDO",ROUND(F15/1.12*0.7*0.95,2),ROUND(F15*0.7*0.95,2)))))))</f>
        <v>0</v>
      </c>
      <c r="I15" s="141" t="n">
        <f aca="false">IF(D15="CONSULT",ROUND(F15/1.12*0.7*0.05,2),IF(D15="MC", ROUND(F15/1.12*0.7*0.05,2), IF(D15="PROCEDURE",ROUND(F15/1.12*0.7*0.05,2), IF(D15="CONSULT/SLC",ROUND(F15/1.12*0.7*0.05,2),IF(D15="PROCEDURE/SLC",ROUND(F15/1.12*0.7*0.05,2),IF(D15="CONSULT/MCDO",ROUND(F15/1.12*0.7*0.05,2),ROUND(F15*0.7*0.05,2)))))))</f>
        <v>0</v>
      </c>
      <c r="J15" s="140" t="n">
        <f aca="false">IF(D15="CONSULT",ROUND(F15/1.12*0.3,2),IF(D15="MC", ROUND(F15/1.12*0.3,2), IF(D15="PROCEDURE",ROUND(F15/1.12*0.3,2), IF(D15="CONSULT/SLC",ROUND(F15/1.12*0.3,2),IF(D15="PROCEDURE/SLC",ROUND(F15/1.12*0.3,2),IF(D15="CONSULT/MCDO",ROUND(F15/1.12*0.3,2),ROUND(F15*0.3,2)))))))</f>
        <v>0</v>
      </c>
      <c r="K15" s="142" t="n">
        <f aca="false">+F15-G15-H15-I15-J15</f>
        <v>0</v>
      </c>
      <c r="L15" s="7"/>
      <c r="M15" s="156"/>
      <c r="N15" s="116"/>
      <c r="O15" s="116"/>
      <c r="P15" s="116"/>
      <c r="Q15" s="116"/>
      <c r="R15" s="116"/>
      <c r="S15" s="116"/>
      <c r="T15" s="116"/>
      <c r="U15" s="116"/>
      <c r="V15" s="116"/>
      <c r="W15" s="116"/>
    </row>
    <row r="16" customFormat="false" ht="15" hidden="false" customHeight="false" outlineLevel="0" collapsed="false">
      <c r="A16" s="155"/>
      <c r="B16" s="148"/>
      <c r="C16" s="149"/>
      <c r="D16" s="153"/>
      <c r="E16" s="140"/>
      <c r="F16" s="140" t="n">
        <f aca="false">IF(D16="CONSULT",ROUND(E16,2), IF(D16="PROCEDURE",ROUND(E16,2), IF(D16="MC",ROUND(E16,2), IF(D16="CONSULT/SLC",ROUND(E16*0.9,2), IF(D16="PROCEDURE/SLC",ROUND(E16*0.9,2), IF(D16="CONSULT/MCDO",ROUND(E16*0.833333,2), ROUND(E16*0.8/1.12,2)))))))</f>
        <v>0</v>
      </c>
      <c r="G16" s="140" t="n">
        <f aca="false">IF(D16="CONSULT", ROUND(F16/1.12*0.12,2), IF(D16="MC", ROUND(F16/1.12*0.12,2), IF(D16="PROCEDURE", ROUND(F16/1.12*0.12,2), IF(D16="CONSULT/SLC",ROUND(F16/1.12*0.12,2), IF(D16="PROCEDURE/SLC",ROUND(F16/1.12*0.12,2), IF(D16="CONSULT/MCDO",ROUND(F16/1.12*0.12,2),0))))))</f>
        <v>0</v>
      </c>
      <c r="H16" s="141" t="n">
        <f aca="false">IF(D16="CONSULT",ROUND(F16/1.12*0.7*0.95,2), IF(D16="MC", ROUND(F16/1.12*0.7*0.95,2), IF(D16="PROCEDURE",ROUND(F16/1.12*0.7*0.95,2), IF(D16="CONSULT/SLC",ROUND(F16/1.12*0.7*0.95,2),IF(D16="PROCEDURE/SLC",ROUND(F16/1.12*0.7*0.95,2),IF(D16="CONSULT/MCDO",ROUND(F16/1.12*0.7*0.95,2),ROUND(F16*0.7*0.95,2)))))))</f>
        <v>0</v>
      </c>
      <c r="I16" s="141" t="n">
        <f aca="false">IF(D16="CONSULT",ROUND(F16/1.12*0.7*0.05,2),IF(D16="MC", ROUND(F16/1.12*0.7*0.05,2), IF(D16="PROCEDURE",ROUND(F16/1.12*0.7*0.05,2), IF(D16="CONSULT/SLC",ROUND(F16/1.12*0.7*0.05,2),IF(D16="PROCEDURE/SLC",ROUND(F16/1.12*0.7*0.05,2),IF(D16="CONSULT/MCDO",ROUND(F16/1.12*0.7*0.05,2),ROUND(F16*0.7*0.05,2)))))))</f>
        <v>0</v>
      </c>
      <c r="J16" s="140" t="n">
        <f aca="false">IF(D16="CONSULT",ROUND(F16/1.12*0.3,2),IF(D16="MC", ROUND(F16/1.12*0.3,2), IF(D16="PROCEDURE",ROUND(F16/1.12*0.3,2), IF(D16="CONSULT/SLC",ROUND(F16/1.12*0.3,2),IF(D16="PROCEDURE/SLC",ROUND(F16/1.12*0.3,2),IF(D16="CONSULT/MCDO",ROUND(F16/1.12*0.3,2),ROUND(F16*0.3,2)))))))</f>
        <v>0</v>
      </c>
      <c r="K16" s="142" t="n">
        <f aca="false">+F16-G16-H16-I16-J16</f>
        <v>0</v>
      </c>
      <c r="L16" s="7"/>
      <c r="M16" s="156"/>
      <c r="N16" s="116"/>
      <c r="O16" s="116"/>
      <c r="P16" s="116"/>
      <c r="Q16" s="116"/>
      <c r="R16" s="116"/>
      <c r="S16" s="116"/>
      <c r="T16" s="116"/>
      <c r="U16" s="116"/>
      <c r="V16" s="116"/>
      <c r="W16" s="116"/>
    </row>
    <row r="17" customFormat="false" ht="15" hidden="false" customHeight="false" outlineLevel="0" collapsed="false">
      <c r="A17" s="155"/>
      <c r="B17" s="155"/>
      <c r="C17" s="155"/>
      <c r="D17" s="155"/>
      <c r="E17" s="155"/>
      <c r="F17" s="157"/>
      <c r="G17" s="157"/>
      <c r="H17" s="158" t="n">
        <f aca="false">SUM(H7:H16)</f>
        <v>356.25</v>
      </c>
      <c r="I17" s="157"/>
      <c r="J17" s="157"/>
      <c r="K17" s="157"/>
      <c r="L17" s="155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</row>
    <row r="18" customFormat="false" ht="14.25" hidden="false" customHeight="false" outlineLevel="0" collapsed="false">
      <c r="F18" s="140"/>
    </row>
    <row r="19" customFormat="false" ht="14.25" hidden="false" customHeight="false" outlineLevel="0" collapsed="false">
      <c r="F19" s="140"/>
    </row>
    <row r="20" customFormat="false" ht="14.25" hidden="false" customHeight="false" outlineLevel="0" collapsed="false">
      <c r="F20" s="140"/>
    </row>
    <row r="21" customFormat="false" ht="14.25" hidden="false" customHeight="false" outlineLevel="0" collapsed="false">
      <c r="F21" s="140"/>
    </row>
    <row r="22" customFormat="false" ht="14.25" hidden="false" customHeight="false" outlineLevel="0" collapsed="false">
      <c r="F22" s="140"/>
    </row>
    <row r="23" customFormat="false" ht="14.25" hidden="false" customHeight="false" outlineLevel="0" collapsed="false">
      <c r="F23" s="140"/>
    </row>
    <row r="24" customFormat="false" ht="14.25" hidden="false" customHeight="false" outlineLevel="0" collapsed="false">
      <c r="F24" s="140"/>
    </row>
    <row r="25" customFormat="false" ht="14.25" hidden="false" customHeight="false" outlineLevel="0" collapsed="false">
      <c r="F25" s="140"/>
    </row>
    <row r="34" customFormat="false" ht="12.75" hidden="false" customHeight="false" outlineLevel="0" collapsed="false">
      <c r="A34" s="159"/>
      <c r="B34" s="159"/>
      <c r="C34" s="160"/>
      <c r="D34" s="159"/>
      <c r="E34" s="159"/>
      <c r="F34" s="159"/>
      <c r="G34" s="159"/>
      <c r="H34" s="159"/>
      <c r="I34" s="159"/>
      <c r="J34" s="159"/>
    </row>
  </sheetData>
  <mergeCells count="8">
    <mergeCell ref="A5:A6"/>
    <mergeCell ref="B5:B6"/>
    <mergeCell ref="C5:C6"/>
    <mergeCell ref="D5:D6"/>
    <mergeCell ref="E5:E6"/>
    <mergeCell ref="L5:L6"/>
    <mergeCell ref="M5:M6"/>
    <mergeCell ref="N5:N6"/>
  </mergeCells>
  <printOptions headings="false" gridLines="true" gridLinesSet="true" horizontalCentered="false" verticalCentered="false"/>
  <pageMargins left="0.2" right="0.2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true"/>
  </sheetPr>
  <dimension ref="A1:IK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5" ySplit="0" topLeftCell="F1" activePane="topRight" state="frozen"/>
      <selection pane="topLeft" activeCell="A1" activeCellId="0" sqref="A1"/>
      <selection pane="topRight" activeCell="C14" activeCellId="0" sqref="C14"/>
    </sheetView>
  </sheetViews>
  <sheetFormatPr defaultColWidth="9.15625" defaultRowHeight="12.75" zeroHeight="false" outlineLevelRow="0" outlineLevelCol="0"/>
  <cols>
    <col collapsed="false" customWidth="true" hidden="false" outlineLevel="0" max="1" min="1" style="161" width="15.15"/>
    <col collapsed="false" customWidth="true" hidden="false" outlineLevel="0" max="2" min="2" style="161" width="12.42"/>
    <col collapsed="false" customWidth="true" hidden="false" outlineLevel="0" max="3" min="3" style="161" width="26.71"/>
    <col collapsed="false" customWidth="true" hidden="false" outlineLevel="0" max="4" min="4" style="161" width="14.57"/>
    <col collapsed="false" customWidth="true" hidden="false" outlineLevel="0" max="5" min="5" style="161" width="12.71"/>
    <col collapsed="false" customWidth="true" hidden="false" outlineLevel="0" max="6" min="6" style="162" width="10.85"/>
    <col collapsed="false" customWidth="true" hidden="false" outlineLevel="0" max="7" min="7" style="162" width="9"/>
    <col collapsed="false" customWidth="true" hidden="false" outlineLevel="0" max="8" min="8" style="162" width="12.14"/>
    <col collapsed="false" customWidth="true" hidden="false" outlineLevel="0" max="9" min="9" style="162" width="7.57"/>
    <col collapsed="false" customWidth="true" hidden="false" outlineLevel="0" max="10" min="10" style="162" width="11.71"/>
    <col collapsed="false" customWidth="true" hidden="false" outlineLevel="0" max="11" min="11" style="162" width="11.57"/>
    <col collapsed="false" customWidth="true" hidden="false" outlineLevel="0" max="12" min="12" style="161" width="27.14"/>
    <col collapsed="false" customWidth="true" hidden="false" outlineLevel="0" max="13" min="13" style="161" width="12.71"/>
    <col collapsed="false" customWidth="true" hidden="false" outlineLevel="0" max="14" min="14" style="161" width="10.85"/>
    <col collapsed="false" customWidth="false" hidden="false" outlineLevel="0" max="1024" min="15" style="161" width="9.14"/>
  </cols>
  <sheetData>
    <row r="1" s="164" customFormat="true" ht="12" hidden="false" customHeight="true" outlineLevel="0" collapsed="false">
      <c r="A1" s="115" t="s">
        <v>29</v>
      </c>
      <c r="B1" s="163"/>
      <c r="F1" s="165"/>
      <c r="G1" s="165"/>
      <c r="H1" s="165"/>
      <c r="I1" s="165"/>
      <c r="J1" s="165"/>
      <c r="K1" s="165"/>
      <c r="L1" s="165"/>
    </row>
    <row r="2" s="164" customFormat="true" ht="15" hidden="false" customHeight="false" outlineLevel="0" collapsed="false">
      <c r="A2" s="163" t="s">
        <v>30</v>
      </c>
      <c r="B2" s="163"/>
      <c r="F2" s="165"/>
      <c r="G2" s="166"/>
      <c r="H2" s="165"/>
      <c r="I2" s="165"/>
      <c r="J2" s="165"/>
      <c r="K2" s="165"/>
      <c r="L2" s="165"/>
    </row>
    <row r="3" s="164" customFormat="true" ht="15" hidden="false" customHeight="false" outlineLevel="0" collapsed="false">
      <c r="A3" s="167"/>
      <c r="B3" s="168"/>
      <c r="F3" s="165"/>
      <c r="G3" s="166"/>
      <c r="H3" s="165"/>
      <c r="I3" s="165"/>
      <c r="J3" s="165"/>
      <c r="K3" s="165"/>
      <c r="L3" s="165"/>
    </row>
    <row r="4" s="164" customFormat="true" ht="15.75" hidden="false" customHeight="false" outlineLevel="0" collapsed="false">
      <c r="A4" s="169" t="s">
        <v>31</v>
      </c>
      <c r="B4" s="168"/>
      <c r="F4" s="165"/>
      <c r="G4" s="165"/>
      <c r="H4" s="165"/>
      <c r="I4" s="165"/>
      <c r="J4" s="165"/>
      <c r="K4" s="165"/>
      <c r="L4" s="165"/>
    </row>
    <row r="5" s="177" customFormat="true" ht="12.75" hidden="false" customHeight="true" outlineLevel="0" collapsed="false">
      <c r="A5" s="121" t="s">
        <v>4</v>
      </c>
      <c r="B5" s="122" t="s">
        <v>32</v>
      </c>
      <c r="C5" s="123" t="s">
        <v>33</v>
      </c>
      <c r="D5" s="123" t="s">
        <v>7</v>
      </c>
      <c r="E5" s="123" t="s">
        <v>21</v>
      </c>
      <c r="F5" s="170" t="s">
        <v>8</v>
      </c>
      <c r="G5" s="171"/>
      <c r="H5" s="172" t="s">
        <v>34</v>
      </c>
      <c r="I5" s="170"/>
      <c r="J5" s="173" t="s">
        <v>35</v>
      </c>
      <c r="K5" s="174"/>
      <c r="L5" s="175" t="s">
        <v>36</v>
      </c>
      <c r="M5" s="176" t="s">
        <v>37</v>
      </c>
      <c r="N5" s="176" t="s">
        <v>38</v>
      </c>
    </row>
    <row r="6" s="177" customFormat="true" ht="13.8" hidden="false" customHeight="false" outlineLevel="0" collapsed="false">
      <c r="A6" s="121"/>
      <c r="B6" s="122"/>
      <c r="C6" s="123"/>
      <c r="D6" s="123"/>
      <c r="E6" s="123"/>
      <c r="F6" s="178" t="s">
        <v>39</v>
      </c>
      <c r="G6" s="178" t="s">
        <v>40</v>
      </c>
      <c r="H6" s="179" t="s">
        <v>41</v>
      </c>
      <c r="I6" s="178" t="s">
        <v>11</v>
      </c>
      <c r="J6" s="180" t="s">
        <v>42</v>
      </c>
      <c r="K6" s="180" t="s">
        <v>43</v>
      </c>
      <c r="L6" s="175"/>
      <c r="M6" s="176"/>
      <c r="N6" s="176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  <c r="AO6" s="181"/>
      <c r="AP6" s="181"/>
      <c r="AQ6" s="181"/>
      <c r="AR6" s="181"/>
      <c r="AS6" s="181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81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81"/>
      <c r="BR6" s="181"/>
      <c r="BS6" s="181"/>
      <c r="BT6" s="181"/>
      <c r="BU6" s="181"/>
      <c r="BV6" s="181"/>
      <c r="BW6" s="181"/>
      <c r="BX6" s="181"/>
      <c r="BY6" s="181"/>
      <c r="BZ6" s="181"/>
      <c r="CA6" s="181"/>
      <c r="CB6" s="181"/>
      <c r="CC6" s="181"/>
      <c r="CD6" s="181"/>
      <c r="CE6" s="181"/>
      <c r="CF6" s="181"/>
      <c r="CG6" s="181"/>
      <c r="CH6" s="181"/>
      <c r="CI6" s="181"/>
      <c r="CJ6" s="181"/>
      <c r="CK6" s="181"/>
      <c r="CL6" s="181"/>
      <c r="CM6" s="181"/>
      <c r="CN6" s="181"/>
      <c r="CO6" s="181"/>
      <c r="CP6" s="181"/>
      <c r="CQ6" s="181"/>
      <c r="CR6" s="181"/>
      <c r="CS6" s="181"/>
      <c r="CT6" s="181"/>
      <c r="CU6" s="181"/>
      <c r="CV6" s="181"/>
      <c r="CW6" s="181"/>
      <c r="CX6" s="181"/>
      <c r="CY6" s="181"/>
      <c r="CZ6" s="181"/>
      <c r="DA6" s="181"/>
      <c r="DB6" s="181"/>
      <c r="DC6" s="181"/>
      <c r="DD6" s="181"/>
      <c r="DE6" s="181"/>
      <c r="DF6" s="181"/>
      <c r="DG6" s="181"/>
      <c r="DH6" s="181"/>
      <c r="DI6" s="181"/>
      <c r="DJ6" s="181"/>
      <c r="DK6" s="181"/>
      <c r="DL6" s="181"/>
      <c r="DM6" s="181"/>
      <c r="DN6" s="181"/>
      <c r="DO6" s="181"/>
      <c r="DP6" s="181"/>
      <c r="DQ6" s="181"/>
      <c r="DR6" s="181"/>
      <c r="DS6" s="181"/>
      <c r="DT6" s="181"/>
      <c r="DU6" s="181"/>
      <c r="DV6" s="181"/>
      <c r="DW6" s="181"/>
      <c r="DX6" s="181"/>
      <c r="DY6" s="181"/>
      <c r="DZ6" s="181"/>
      <c r="EA6" s="181"/>
      <c r="EB6" s="181"/>
      <c r="EC6" s="181"/>
      <c r="ED6" s="181"/>
      <c r="EE6" s="181"/>
      <c r="EF6" s="181"/>
      <c r="EG6" s="181"/>
      <c r="EH6" s="181"/>
      <c r="EI6" s="181"/>
      <c r="EJ6" s="181"/>
      <c r="EK6" s="181"/>
      <c r="EL6" s="181"/>
      <c r="EM6" s="181"/>
      <c r="EN6" s="181"/>
      <c r="EO6" s="181"/>
      <c r="EP6" s="181"/>
      <c r="EQ6" s="181"/>
      <c r="ER6" s="181"/>
      <c r="ES6" s="181"/>
      <c r="ET6" s="181"/>
      <c r="EU6" s="181"/>
      <c r="EV6" s="181"/>
      <c r="EW6" s="181"/>
      <c r="EX6" s="181"/>
      <c r="EY6" s="181"/>
      <c r="EZ6" s="181"/>
      <c r="FA6" s="181"/>
      <c r="FB6" s="181"/>
      <c r="FC6" s="181"/>
      <c r="FD6" s="181"/>
      <c r="FE6" s="181"/>
      <c r="FF6" s="181"/>
      <c r="FG6" s="181"/>
      <c r="FH6" s="181"/>
      <c r="FI6" s="181"/>
      <c r="FJ6" s="181"/>
      <c r="FK6" s="181"/>
      <c r="FL6" s="181"/>
      <c r="FM6" s="181"/>
      <c r="FN6" s="181"/>
      <c r="FO6" s="181"/>
      <c r="FP6" s="181"/>
      <c r="FQ6" s="181"/>
      <c r="FR6" s="181"/>
      <c r="FS6" s="181"/>
      <c r="FT6" s="181"/>
      <c r="FU6" s="181"/>
      <c r="FV6" s="181"/>
      <c r="FW6" s="181"/>
      <c r="FX6" s="181"/>
      <c r="FY6" s="181"/>
      <c r="FZ6" s="181"/>
      <c r="GA6" s="181"/>
      <c r="GB6" s="181"/>
      <c r="GC6" s="181"/>
      <c r="GD6" s="181"/>
      <c r="GE6" s="181"/>
      <c r="GF6" s="181"/>
      <c r="GG6" s="181"/>
      <c r="GH6" s="181"/>
      <c r="GI6" s="181"/>
      <c r="GJ6" s="181"/>
      <c r="GK6" s="181"/>
      <c r="GL6" s="181"/>
      <c r="GM6" s="181"/>
      <c r="GN6" s="181"/>
      <c r="GO6" s="181"/>
      <c r="GP6" s="181"/>
      <c r="GQ6" s="181"/>
      <c r="GR6" s="181"/>
      <c r="GS6" s="181"/>
      <c r="GT6" s="181"/>
      <c r="GU6" s="181"/>
      <c r="GV6" s="181"/>
      <c r="GW6" s="181"/>
      <c r="GX6" s="181"/>
      <c r="GY6" s="181"/>
      <c r="GZ6" s="181"/>
      <c r="HA6" s="181"/>
      <c r="HB6" s="181"/>
      <c r="HC6" s="181"/>
      <c r="HD6" s="181"/>
      <c r="HE6" s="181"/>
      <c r="HF6" s="181"/>
      <c r="HG6" s="181"/>
      <c r="HH6" s="181"/>
      <c r="HI6" s="181"/>
      <c r="HJ6" s="181"/>
      <c r="HK6" s="181"/>
      <c r="HL6" s="181"/>
      <c r="HM6" s="181"/>
      <c r="HN6" s="181"/>
      <c r="HO6" s="181"/>
      <c r="HP6" s="181"/>
      <c r="HQ6" s="181"/>
      <c r="HR6" s="181"/>
      <c r="HS6" s="181"/>
      <c r="HT6" s="181"/>
      <c r="HU6" s="181"/>
      <c r="HV6" s="181"/>
      <c r="HW6" s="181"/>
      <c r="HX6" s="181"/>
      <c r="HY6" s="181"/>
      <c r="HZ6" s="181"/>
      <c r="IA6" s="181"/>
      <c r="IB6" s="181"/>
      <c r="IC6" s="181"/>
      <c r="ID6" s="181"/>
      <c r="IE6" s="181"/>
      <c r="IF6" s="181"/>
      <c r="IG6" s="181"/>
      <c r="IH6" s="181"/>
      <c r="II6" s="181"/>
      <c r="IJ6" s="181"/>
      <c r="IK6" s="181"/>
    </row>
    <row r="7" s="188" customFormat="true" ht="15.75" hidden="false" customHeight="true" outlineLevel="0" collapsed="false">
      <c r="A7" s="136" t="str">
        <f aca="true">TEXT(NOW(), "mm/dd/yyyy")</f>
        <v>05/15/2021</v>
      </c>
      <c r="B7" s="182" t="n">
        <v>654321</v>
      </c>
      <c r="C7" s="182" t="s">
        <v>46</v>
      </c>
      <c r="D7" s="153" t="s">
        <v>47</v>
      </c>
      <c r="E7" s="140" t="n">
        <v>750</v>
      </c>
      <c r="F7" s="140" t="n">
        <f aca="false">IF(D7="PT",ROUND(E7,2),IF(D7="PT/SLC",ROUND(E7*0.9,2),ROUND(E7*0.8/1.12,2)))</f>
        <v>535.71</v>
      </c>
      <c r="G7" s="140" t="n">
        <f aca="false">IF(D7="PT",ROUND(F7/1.12*0.12,2), IF(D7="PT/SLC",ROUND(F7/1.12*0.12,2),0))</f>
        <v>0</v>
      </c>
      <c r="H7" s="141" t="n">
        <f aca="false">IF(D7="PT",ROUND(F7/1.12*0.7*0.9,2),IF(D7="PT/SLC",ROUND(F7/1.12*0.7*0.9,2),ROUND(F7*0.7*0.9,2)))</f>
        <v>337.5</v>
      </c>
      <c r="I7" s="141" t="n">
        <f aca="false">IF(D7="PT",ROUND(F7/1.12*0.7*0.1,2),IF(D7="PT/SLC",ROUND(F7/1.12*0.7*0.1,2),ROUND(F7*0.7*0.1,2)))</f>
        <v>37.5</v>
      </c>
      <c r="J7" s="140" t="n">
        <f aca="false">IF(D7="PT",ROUND(F7/1.12*0.3,2),IF(D7="PT/SLC",ROUND(F7/1.12*0.3,2),ROUND(F7*0.3,2)))</f>
        <v>160.71</v>
      </c>
      <c r="K7" s="183" t="n">
        <f aca="false">+F7-G7-H7-I7-J7</f>
        <v>0</v>
      </c>
      <c r="L7" s="184" t="s">
        <v>48</v>
      </c>
      <c r="M7" s="185" t="n">
        <v>1000</v>
      </c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7"/>
      <c r="BQ7" s="187"/>
      <c r="BR7" s="187"/>
      <c r="BS7" s="187"/>
      <c r="BT7" s="187"/>
      <c r="BU7" s="187"/>
      <c r="BV7" s="187"/>
      <c r="BW7" s="187"/>
      <c r="BX7" s="187"/>
      <c r="BY7" s="187"/>
      <c r="BZ7" s="187"/>
      <c r="CA7" s="187"/>
      <c r="CB7" s="187"/>
      <c r="CC7" s="187"/>
      <c r="CD7" s="187"/>
      <c r="CE7" s="187"/>
      <c r="CF7" s="187"/>
      <c r="CG7" s="187"/>
      <c r="CH7" s="187"/>
      <c r="CI7" s="187"/>
      <c r="CJ7" s="187"/>
      <c r="CK7" s="187"/>
      <c r="CL7" s="187"/>
      <c r="CM7" s="187"/>
      <c r="CN7" s="187"/>
      <c r="CO7" s="187"/>
      <c r="CP7" s="187"/>
      <c r="CQ7" s="187"/>
      <c r="CR7" s="187"/>
      <c r="CS7" s="187"/>
      <c r="CT7" s="187"/>
      <c r="CU7" s="187"/>
      <c r="CV7" s="187"/>
      <c r="CW7" s="187"/>
      <c r="CX7" s="187"/>
      <c r="CY7" s="187"/>
      <c r="CZ7" s="187"/>
      <c r="DA7" s="187"/>
      <c r="DB7" s="187"/>
      <c r="DC7" s="187"/>
      <c r="DD7" s="187"/>
      <c r="DE7" s="187"/>
      <c r="DF7" s="187"/>
      <c r="DG7" s="187"/>
      <c r="DH7" s="187"/>
      <c r="DI7" s="187"/>
      <c r="DJ7" s="187"/>
      <c r="DK7" s="187"/>
      <c r="DL7" s="187"/>
      <c r="DM7" s="187"/>
      <c r="DN7" s="187"/>
      <c r="DO7" s="187"/>
      <c r="DP7" s="187"/>
      <c r="DQ7" s="187"/>
      <c r="DR7" s="187"/>
      <c r="DS7" s="187"/>
      <c r="DT7" s="187"/>
      <c r="DU7" s="187"/>
      <c r="DV7" s="187"/>
      <c r="DW7" s="187"/>
      <c r="DX7" s="187"/>
      <c r="DY7" s="187"/>
      <c r="DZ7" s="187"/>
      <c r="EA7" s="187"/>
      <c r="EB7" s="187"/>
      <c r="EC7" s="187"/>
      <c r="ED7" s="187"/>
      <c r="EE7" s="187"/>
      <c r="EF7" s="187"/>
      <c r="EG7" s="187"/>
      <c r="EH7" s="187"/>
      <c r="EI7" s="187"/>
      <c r="EJ7" s="187"/>
      <c r="EK7" s="187"/>
      <c r="EL7" s="187"/>
      <c r="EM7" s="187"/>
      <c r="EN7" s="187"/>
      <c r="EO7" s="187"/>
      <c r="EP7" s="187"/>
      <c r="EQ7" s="187"/>
      <c r="ER7" s="187"/>
      <c r="ES7" s="187"/>
      <c r="ET7" s="187"/>
      <c r="EU7" s="187"/>
      <c r="EV7" s="187"/>
      <c r="EW7" s="187"/>
      <c r="EX7" s="187"/>
      <c r="EY7" s="187"/>
      <c r="EZ7" s="187"/>
      <c r="FA7" s="187"/>
      <c r="FB7" s="187"/>
      <c r="FC7" s="187"/>
      <c r="FD7" s="187"/>
      <c r="FE7" s="187"/>
      <c r="FF7" s="187"/>
      <c r="FG7" s="187"/>
      <c r="FH7" s="187"/>
      <c r="FI7" s="187"/>
      <c r="FJ7" s="187"/>
      <c r="FK7" s="187"/>
      <c r="FL7" s="187"/>
      <c r="FM7" s="187"/>
      <c r="FN7" s="187"/>
      <c r="FO7" s="187"/>
      <c r="FP7" s="187"/>
      <c r="FQ7" s="187"/>
      <c r="FR7" s="187"/>
      <c r="FS7" s="187"/>
      <c r="FT7" s="187"/>
      <c r="FU7" s="187"/>
      <c r="FV7" s="187"/>
      <c r="FW7" s="187"/>
      <c r="FX7" s="187"/>
      <c r="FY7" s="187"/>
      <c r="FZ7" s="187"/>
      <c r="GA7" s="187"/>
      <c r="GB7" s="187"/>
      <c r="GC7" s="187"/>
      <c r="GD7" s="187"/>
      <c r="GE7" s="187"/>
      <c r="GF7" s="187"/>
      <c r="GG7" s="187"/>
      <c r="GH7" s="187"/>
      <c r="GI7" s="187"/>
      <c r="GJ7" s="187"/>
      <c r="GK7" s="187"/>
      <c r="GL7" s="187"/>
      <c r="GM7" s="187"/>
      <c r="GN7" s="187"/>
      <c r="GO7" s="187"/>
      <c r="GP7" s="187"/>
      <c r="GQ7" s="187"/>
      <c r="GR7" s="187"/>
      <c r="GS7" s="187"/>
      <c r="GT7" s="187"/>
      <c r="GU7" s="187"/>
      <c r="GV7" s="187"/>
      <c r="GW7" s="187"/>
      <c r="GX7" s="187"/>
      <c r="GY7" s="187"/>
      <c r="GZ7" s="187"/>
      <c r="HA7" s="187"/>
      <c r="HB7" s="187"/>
      <c r="HC7" s="187"/>
      <c r="HD7" s="187"/>
      <c r="HE7" s="187"/>
      <c r="HF7" s="187"/>
      <c r="HG7" s="187"/>
      <c r="HH7" s="187"/>
      <c r="HI7" s="187"/>
      <c r="HJ7" s="187"/>
      <c r="HK7" s="187"/>
      <c r="HL7" s="187"/>
      <c r="HM7" s="187"/>
      <c r="HN7" s="187"/>
      <c r="HO7" s="187"/>
      <c r="HP7" s="187"/>
      <c r="HQ7" s="187"/>
      <c r="HR7" s="187"/>
      <c r="HS7" s="187"/>
      <c r="HT7" s="187"/>
      <c r="HU7" s="187"/>
      <c r="HV7" s="187"/>
      <c r="HW7" s="187"/>
      <c r="HX7" s="187"/>
      <c r="HY7" s="187"/>
      <c r="HZ7" s="187"/>
      <c r="IA7" s="187"/>
      <c r="IB7" s="187"/>
      <c r="IC7" s="187"/>
      <c r="ID7" s="187"/>
      <c r="IE7" s="187"/>
      <c r="IF7" s="187"/>
      <c r="IG7" s="187"/>
      <c r="IH7" s="187"/>
      <c r="II7" s="187"/>
      <c r="IJ7" s="187"/>
      <c r="IK7" s="187"/>
    </row>
    <row r="8" s="194" customFormat="true" ht="17.35" hidden="false" customHeight="false" outlineLevel="0" collapsed="false">
      <c r="A8" s="189"/>
      <c r="B8" s="190"/>
      <c r="C8" s="191"/>
      <c r="D8" s="153"/>
      <c r="E8" s="140"/>
      <c r="F8" s="140" t="n">
        <f aca="false">IF(D8="PT",ROUND(E8,2),IF(D8="PT/SLC",ROUND(E8*0.9,2),ROUND(E8*0.8/1.12,2)))</f>
        <v>0</v>
      </c>
      <c r="G8" s="140" t="n">
        <f aca="false">IF(D8="PT",ROUND(F8/1.12*0.12,2), IF(D8="PT/SLC",ROUND(F8/1.12*0.12,2),0))</f>
        <v>0</v>
      </c>
      <c r="H8" s="141" t="n">
        <f aca="false">IF(D8="PT",ROUND(F8/1.12*0.7*0.9,2),IF(D8="PT/SLC",ROUND(F8/1.12*0.7*0.9,2),ROUND(F8*0.7*0.9,2)))</f>
        <v>0</v>
      </c>
      <c r="I8" s="141" t="n">
        <f aca="false">IF(D8="PT",ROUND(F8/1.12*0.7*0.1,2),IF(D8="PT/SLC",ROUND(F8/1.12*0.7*0.1,2),ROUND(F8*0.7*0.1,2)))</f>
        <v>0</v>
      </c>
      <c r="J8" s="140" t="n">
        <f aca="false">IF(D8="PT",ROUND(F8/1.12*0.3,2),IF(D8="PT/SLC",ROUND(F8/1.12*0.3,2),ROUND(F8*0.3,2)))</f>
        <v>0</v>
      </c>
      <c r="K8" s="183" t="n">
        <f aca="false">+F8-G8-H8-I8-J8</f>
        <v>0</v>
      </c>
      <c r="L8" s="183"/>
      <c r="M8" s="185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3"/>
      <c r="AN8" s="193"/>
      <c r="AO8" s="193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3"/>
      <c r="BK8" s="193"/>
      <c r="BL8" s="193"/>
      <c r="BM8" s="193"/>
      <c r="BN8" s="193"/>
      <c r="BO8" s="193"/>
      <c r="BP8" s="193"/>
      <c r="BQ8" s="193"/>
      <c r="BR8" s="193"/>
      <c r="BS8" s="193"/>
      <c r="BT8" s="193"/>
      <c r="BU8" s="193"/>
      <c r="BV8" s="193"/>
      <c r="BW8" s="193"/>
      <c r="BX8" s="193"/>
      <c r="BY8" s="193"/>
      <c r="BZ8" s="193"/>
      <c r="CA8" s="193"/>
      <c r="CB8" s="193"/>
      <c r="CC8" s="193"/>
      <c r="CD8" s="193"/>
      <c r="CE8" s="193"/>
      <c r="CF8" s="193"/>
      <c r="CG8" s="193"/>
      <c r="CH8" s="193"/>
      <c r="CI8" s="193"/>
      <c r="CJ8" s="193"/>
      <c r="CK8" s="193"/>
      <c r="CL8" s="193"/>
      <c r="CM8" s="193"/>
      <c r="CN8" s="193"/>
      <c r="CO8" s="193"/>
      <c r="CP8" s="193"/>
      <c r="CQ8" s="193"/>
      <c r="CR8" s="193"/>
      <c r="CS8" s="193"/>
      <c r="CT8" s="193"/>
      <c r="CU8" s="193"/>
      <c r="CV8" s="193"/>
      <c r="CW8" s="193"/>
      <c r="CX8" s="193"/>
      <c r="CY8" s="193"/>
      <c r="CZ8" s="193"/>
      <c r="DA8" s="193"/>
      <c r="DB8" s="193"/>
      <c r="DC8" s="193"/>
      <c r="DD8" s="193"/>
      <c r="DE8" s="193"/>
      <c r="DF8" s="193"/>
      <c r="DG8" s="193"/>
      <c r="DH8" s="193"/>
      <c r="DI8" s="193"/>
      <c r="DJ8" s="193"/>
      <c r="DK8" s="193"/>
      <c r="DL8" s="193"/>
      <c r="DM8" s="193"/>
      <c r="DN8" s="193"/>
      <c r="DO8" s="193"/>
      <c r="DP8" s="193"/>
      <c r="DQ8" s="193"/>
      <c r="DR8" s="193"/>
      <c r="DS8" s="193"/>
      <c r="DT8" s="193"/>
      <c r="DU8" s="193"/>
      <c r="DV8" s="193"/>
      <c r="DW8" s="193"/>
      <c r="DX8" s="193"/>
      <c r="DY8" s="193"/>
      <c r="DZ8" s="193"/>
      <c r="EA8" s="193"/>
      <c r="EB8" s="193"/>
      <c r="EC8" s="193"/>
      <c r="ED8" s="193"/>
      <c r="EE8" s="193"/>
      <c r="EF8" s="193"/>
      <c r="EG8" s="193"/>
      <c r="EH8" s="193"/>
      <c r="EI8" s="193"/>
      <c r="EJ8" s="193"/>
      <c r="EK8" s="193"/>
      <c r="EL8" s="193"/>
      <c r="EM8" s="193"/>
      <c r="EN8" s="193"/>
      <c r="EO8" s="193"/>
      <c r="EP8" s="193"/>
      <c r="EQ8" s="193"/>
      <c r="ER8" s="193"/>
      <c r="ES8" s="193"/>
      <c r="ET8" s="193"/>
      <c r="EU8" s="193"/>
      <c r="EV8" s="193"/>
      <c r="EW8" s="193"/>
      <c r="EX8" s="193"/>
      <c r="EY8" s="193"/>
      <c r="EZ8" s="193"/>
      <c r="FA8" s="193"/>
      <c r="FB8" s="193"/>
      <c r="FC8" s="193"/>
      <c r="FD8" s="193"/>
      <c r="FE8" s="193"/>
      <c r="FF8" s="193"/>
      <c r="FG8" s="193"/>
      <c r="FH8" s="193"/>
      <c r="FI8" s="193"/>
      <c r="FJ8" s="193"/>
      <c r="FK8" s="193"/>
      <c r="FL8" s="193"/>
      <c r="FM8" s="193"/>
      <c r="FN8" s="193"/>
      <c r="FO8" s="193"/>
      <c r="FP8" s="193"/>
      <c r="FQ8" s="193"/>
      <c r="FR8" s="193"/>
      <c r="FS8" s="193"/>
      <c r="FT8" s="193"/>
      <c r="FU8" s="193"/>
      <c r="FV8" s="193"/>
      <c r="FW8" s="193"/>
      <c r="FX8" s="193"/>
      <c r="FY8" s="193"/>
      <c r="FZ8" s="193"/>
      <c r="GA8" s="193"/>
      <c r="GB8" s="193"/>
      <c r="GC8" s="193"/>
      <c r="GD8" s="193"/>
      <c r="GE8" s="193"/>
      <c r="GF8" s="193"/>
      <c r="GG8" s="193"/>
      <c r="GH8" s="193"/>
      <c r="GI8" s="193"/>
      <c r="GJ8" s="193"/>
      <c r="GK8" s="193"/>
      <c r="GL8" s="193"/>
      <c r="GM8" s="193"/>
      <c r="GN8" s="193"/>
      <c r="GO8" s="193"/>
      <c r="GP8" s="193"/>
      <c r="GQ8" s="193"/>
      <c r="GR8" s="193"/>
      <c r="GS8" s="193"/>
      <c r="GT8" s="193"/>
      <c r="GU8" s="193"/>
      <c r="GV8" s="193"/>
      <c r="GW8" s="193"/>
      <c r="GX8" s="193"/>
      <c r="GY8" s="193"/>
      <c r="GZ8" s="193"/>
      <c r="HA8" s="193"/>
      <c r="HB8" s="193"/>
      <c r="HC8" s="193"/>
      <c r="HD8" s="193"/>
      <c r="HE8" s="193"/>
      <c r="HF8" s="193"/>
      <c r="HG8" s="193"/>
      <c r="HH8" s="193"/>
      <c r="HI8" s="193"/>
      <c r="HJ8" s="193"/>
      <c r="HK8" s="193"/>
      <c r="HL8" s="193"/>
      <c r="HM8" s="193"/>
      <c r="HN8" s="193"/>
      <c r="HO8" s="193"/>
      <c r="HP8" s="193"/>
      <c r="HQ8" s="193"/>
      <c r="HR8" s="193"/>
      <c r="HS8" s="193"/>
      <c r="HT8" s="193"/>
      <c r="HU8" s="193"/>
      <c r="HV8" s="193"/>
      <c r="HW8" s="193"/>
      <c r="HX8" s="193"/>
      <c r="HY8" s="193"/>
      <c r="HZ8" s="193"/>
      <c r="IA8" s="193"/>
      <c r="IB8" s="193"/>
      <c r="IC8" s="193"/>
      <c r="ID8" s="193"/>
      <c r="IE8" s="193"/>
      <c r="IF8" s="193"/>
      <c r="IG8" s="193"/>
      <c r="IH8" s="193"/>
      <c r="II8" s="193"/>
      <c r="IJ8" s="193"/>
      <c r="IK8" s="193"/>
    </row>
    <row r="9" customFormat="false" ht="15" hidden="false" customHeight="true" outlineLevel="0" collapsed="false">
      <c r="A9" s="189"/>
      <c r="B9" s="195"/>
      <c r="C9" s="196"/>
      <c r="D9" s="153"/>
      <c r="E9" s="140"/>
      <c r="F9" s="140" t="n">
        <f aca="false">IF(D9="PT",ROUND(E9,2),IF(D9="PT/SLC",ROUND(E9*0.9,2),ROUND(E9*0.8/1.12,2)))</f>
        <v>0</v>
      </c>
      <c r="G9" s="140" t="n">
        <f aca="false">IF(D9="PT",ROUND(F9/1.12*0.12,2), IF(D9="PT/SLC",ROUND(F9/1.12*0.12,2),0))</f>
        <v>0</v>
      </c>
      <c r="H9" s="141" t="n">
        <f aca="false">IF(D9="PT",ROUND(F9/1.12*0.7*0.9,2),IF(D9="PT/SLC",ROUND(F9/1.12*0.7*0.9,2),ROUND(F9*0.7*0.9,2)))</f>
        <v>0</v>
      </c>
      <c r="I9" s="141" t="n">
        <f aca="false">IF(D9="PT",ROUND(F9/1.12*0.7*0.1,2),IF(D9="PT/SLC",ROUND(F9/1.12*0.7*0.1,2),ROUND(F9*0.7*0.1,2)))</f>
        <v>0</v>
      </c>
      <c r="J9" s="140" t="n">
        <f aca="false">IF(D9="PT",ROUND(F9/1.12*0.3,2),IF(D9="PT/SLC",ROUND(F9/1.12*0.3,2),ROUND(F9*0.3,2)))</f>
        <v>0</v>
      </c>
      <c r="K9" s="183" t="n">
        <f aca="false">+F9-G9-H9-I9-J9</f>
        <v>0</v>
      </c>
      <c r="L9" s="197"/>
      <c r="M9" s="198"/>
      <c r="N9" s="164"/>
      <c r="O9" s="164"/>
      <c r="P9" s="164"/>
      <c r="Q9" s="164"/>
      <c r="R9" s="164"/>
      <c r="S9" s="164"/>
      <c r="T9" s="164"/>
      <c r="U9" s="164"/>
      <c r="V9" s="164"/>
      <c r="W9" s="164"/>
    </row>
    <row r="10" customFormat="false" ht="14.25" hidden="false" customHeight="true" outlineLevel="0" collapsed="false">
      <c r="A10" s="199"/>
      <c r="B10" s="200"/>
      <c r="C10" s="201"/>
      <c r="D10" s="139"/>
      <c r="E10" s="140"/>
      <c r="F10" s="140" t="n">
        <f aca="false">IF(D10="PT",ROUND(E10,2),IF(D10="PT/SLC",ROUND(E10*0.9,2),ROUND(E10*0.8/1.12,2)))</f>
        <v>0</v>
      </c>
      <c r="G10" s="140" t="n">
        <f aca="false">IF(D10="PT",ROUND(F10/1.12*0.12,2), IF(D10="PT/SLC",ROUND(F10/1.12*0.12,2),0))</f>
        <v>0</v>
      </c>
      <c r="H10" s="141" t="n">
        <f aca="false">IF(D10="PT",ROUND(F10/1.12*0.7*0.9,2),IF(D10="PT/SLC",ROUND(F10/1.12*0.7*0.9,2),ROUND(F10*0.7*0.9,2)))</f>
        <v>0</v>
      </c>
      <c r="I10" s="141" t="n">
        <f aca="false">IF(D10="PT",ROUND(F10/1.12*0.7*0.1,2),IF(D10="PT/SLC",ROUND(F10/1.12*0.7*0.1,2),ROUND(F10*0.7*0.1,2)))</f>
        <v>0</v>
      </c>
      <c r="J10" s="140" t="n">
        <f aca="false">IF(D10="PT",ROUND(F10/1.12*0.3,2),IF(D10="PT/SLC",ROUND(F10/1.12*0.3,2),ROUND(F10*0.3,2)))</f>
        <v>0</v>
      </c>
      <c r="K10" s="183" t="n">
        <f aca="false">+F10-G10-H10-I10-J10</f>
        <v>0</v>
      </c>
      <c r="L10" s="202"/>
      <c r="M10" s="198"/>
      <c r="N10" s="164"/>
      <c r="O10" s="164"/>
      <c r="P10" s="164"/>
      <c r="Q10" s="164"/>
      <c r="R10" s="164"/>
      <c r="S10" s="164"/>
      <c r="T10" s="164"/>
      <c r="U10" s="164"/>
      <c r="V10" s="164"/>
      <c r="W10" s="164"/>
    </row>
    <row r="11" customFormat="false" ht="15.75" hidden="false" customHeight="true" outlineLevel="0" collapsed="false">
      <c r="A11" s="199"/>
      <c r="B11" s="203"/>
      <c r="C11" s="201"/>
      <c r="D11" s="139"/>
      <c r="E11" s="140"/>
      <c r="F11" s="140" t="n">
        <f aca="false">IF(D11="PT",ROUND(E11,2),IF(D11="PT/SLC",ROUND(E11*0.9,2),ROUND(E11*0.8/1.12,2)))</f>
        <v>0</v>
      </c>
      <c r="G11" s="140" t="n">
        <f aca="false">IF(D11="PT",ROUND(F11/1.12*0.12,2), IF(D11="PT/SLC",ROUND(F11/1.12*0.12,2),0))</f>
        <v>0</v>
      </c>
      <c r="H11" s="141" t="n">
        <f aca="false">IF(D11="PT",ROUND(F11/1.12*0.7*0.9,2),IF(D11="PT/SLC",ROUND(F11/1.12*0.7*0.9,2),ROUND(F11*0.7*0.9,2)))</f>
        <v>0</v>
      </c>
      <c r="I11" s="141" t="n">
        <f aca="false">IF(D11="PT",ROUND(F11/1.12*0.7*0.1,2),IF(D11="PT/SLC",ROUND(F11/1.12*0.7*0.1,2),ROUND(F11*0.7*0.1,2)))</f>
        <v>0</v>
      </c>
      <c r="J11" s="140" t="n">
        <f aca="false">IF(D11="PT",ROUND(F11/1.12*0.3,2),IF(D11="PT/SLC",ROUND(F11/1.12*0.3,2),ROUND(F11*0.3,2)))</f>
        <v>0</v>
      </c>
      <c r="K11" s="183" t="n">
        <f aca="false">+F11-G11-H11-I11-J11</f>
        <v>0</v>
      </c>
      <c r="L11" s="140"/>
      <c r="M11" s="198"/>
      <c r="N11" s="164"/>
      <c r="O11" s="164"/>
      <c r="P11" s="164"/>
      <c r="Q11" s="164"/>
      <c r="R11" s="164"/>
      <c r="S11" s="164"/>
      <c r="T11" s="164"/>
      <c r="U11" s="164"/>
      <c r="V11" s="164"/>
      <c r="W11" s="164"/>
    </row>
    <row r="12" customFormat="false" ht="15" hidden="false" customHeight="true" outlineLevel="0" collapsed="false">
      <c r="A12" s="199"/>
      <c r="B12" s="204"/>
      <c r="C12" s="199"/>
      <c r="D12" s="153"/>
      <c r="E12" s="153"/>
      <c r="F12" s="140" t="n">
        <f aca="false">IF(D12="PT",ROUND(E12,2),IF(D12="PT/SLC",ROUND(E12*0.9,2),ROUND(E12*0.8/1.12,2)))</f>
        <v>0</v>
      </c>
      <c r="G12" s="140" t="n">
        <f aca="false">IF(D12="PT",ROUND(F12/1.12*0.12,2), IF(D12="PT/SLC",ROUND(F12/1.12*0.12,2),0))</f>
        <v>0</v>
      </c>
      <c r="H12" s="141" t="n">
        <f aca="false">IF(D12="PT",ROUND(F12/1.12*0.7*0.9,2),IF(D12="PT/SLC",ROUND(F12/1.12*0.7*0.9,2),ROUND(F12*0.7*0.9,2)))</f>
        <v>0</v>
      </c>
      <c r="I12" s="141" t="n">
        <f aca="false">IF(D12="PT",ROUND(F12/1.12*0.7*0.1,2),IF(D12="PT/SLC",ROUND(F12/1.12*0.7*0.1,2),ROUND(F12*0.7*0.1,2)))</f>
        <v>0</v>
      </c>
      <c r="J12" s="140" t="n">
        <f aca="false">IF(D12="PT",ROUND(F12/1.12*0.3,2),IF(D12="PT/SLC",ROUND(F12/1.12*0.3,2),ROUND(F12*0.3,2)))</f>
        <v>0</v>
      </c>
      <c r="K12" s="183" t="n">
        <f aca="false">+F12-G12-H12-I12-J12</f>
        <v>0</v>
      </c>
      <c r="L12" s="202"/>
      <c r="M12" s="205"/>
      <c r="N12" s="164"/>
      <c r="O12" s="164"/>
      <c r="P12" s="164"/>
      <c r="Q12" s="164"/>
      <c r="R12" s="164"/>
      <c r="S12" s="164"/>
      <c r="T12" s="164"/>
      <c r="U12" s="164"/>
      <c r="V12" s="164"/>
      <c r="W12" s="164"/>
    </row>
    <row r="13" customFormat="false" ht="15" hidden="false" customHeight="false" outlineLevel="0" collapsed="false">
      <c r="A13" s="199"/>
      <c r="B13" s="204"/>
      <c r="C13" s="206"/>
      <c r="D13" s="153"/>
      <c r="E13" s="153"/>
      <c r="F13" s="140" t="n">
        <f aca="false">IF(D13="PT",ROUND(E13,2),IF(D13="PT/SLC",ROUND(E13*0.9,2),ROUND(E13*0.8/1.12,2)))</f>
        <v>0</v>
      </c>
      <c r="G13" s="140" t="n">
        <f aca="false">IF(D13="PT",ROUND(F13/1.12*0.12,2), IF(D13="PT/SLC",ROUND(F13/1.12*0.12,2),0))</f>
        <v>0</v>
      </c>
      <c r="H13" s="141" t="n">
        <f aca="false">IF(D13="PT",ROUND(F13/1.12*0.7*0.9,2),IF(D13="PT/SLC",ROUND(F13/1.12*0.7*0.9,2),ROUND(F13*0.7*0.9,2)))</f>
        <v>0</v>
      </c>
      <c r="I13" s="141" t="n">
        <f aca="false">IF(D13="PT",ROUND(F13/1.12*0.7*0.1,2),IF(D13="PT/SLC",ROUND(F13/1.12*0.7*0.1,2),ROUND(F13*0.7*0.1,2)))</f>
        <v>0</v>
      </c>
      <c r="J13" s="140" t="n">
        <f aca="false">IF(D13="PT",ROUND(F13/1.12*0.3,2),IF(D13="PT/SLC",ROUND(F13/1.12*0.3,2),ROUND(F13*0.3,2)))</f>
        <v>0</v>
      </c>
      <c r="K13" s="183" t="n">
        <f aca="false">+F13-G13-H13-I13-J13</f>
        <v>0</v>
      </c>
      <c r="L13" s="202"/>
      <c r="M13" s="205"/>
      <c r="N13" s="164"/>
      <c r="O13" s="164"/>
      <c r="P13" s="164"/>
      <c r="Q13" s="164"/>
      <c r="R13" s="164"/>
      <c r="S13" s="164"/>
      <c r="T13" s="164"/>
      <c r="U13" s="164"/>
      <c r="V13" s="164"/>
      <c r="W13" s="164"/>
    </row>
    <row r="14" customFormat="false" ht="15" hidden="false" customHeight="false" outlineLevel="0" collapsed="false">
      <c r="A14" s="199"/>
      <c r="B14" s="207"/>
      <c r="C14" s="208"/>
      <c r="D14" s="153"/>
      <c r="E14" s="153"/>
      <c r="F14" s="140" t="n">
        <f aca="false">IF(D14="PT",ROUND(E14,2),IF(D14="PT/SLC",ROUND(E14*0.9,2),ROUND(E14*0.8/1.12,2)))</f>
        <v>0</v>
      </c>
      <c r="G14" s="140" t="n">
        <f aca="false">IF(D14="PT",ROUND(F14/1.12*0.12,2), IF(D14="PT/SLC",ROUND(F14/1.12*0.12,2),0))</f>
        <v>0</v>
      </c>
      <c r="H14" s="141" t="n">
        <f aca="false">IF(D14="PT",ROUND(F14/1.12*0.7*0.9,2),IF(D14="PT/SLC",ROUND(F14/1.12*0.7*0.9,2),ROUND(F14*0.7*0.9,2)))</f>
        <v>0</v>
      </c>
      <c r="I14" s="141" t="n">
        <f aca="false">IF(D14="PT",ROUND(F14/1.12*0.7*0.1,2),IF(D14="PT/SLC",ROUND(F14/1.12*0.7*0.1,2),ROUND(F14*0.7*0.1,2)))</f>
        <v>0</v>
      </c>
      <c r="J14" s="140" t="n">
        <f aca="false">IF(D14="PT",ROUND(F14/1.12*0.3,2),IF(D14="PT/SLC",ROUND(F14/1.12*0.3,2),ROUND(F14*0.3,2)))</f>
        <v>0</v>
      </c>
      <c r="K14" s="183" t="n">
        <f aca="false">+F14-G14-H14-I14-J14</f>
        <v>0</v>
      </c>
      <c r="L14" s="202"/>
      <c r="M14" s="205"/>
      <c r="N14" s="164"/>
      <c r="O14" s="164"/>
      <c r="P14" s="164"/>
      <c r="Q14" s="164"/>
      <c r="R14" s="164"/>
      <c r="S14" s="164"/>
      <c r="T14" s="164"/>
      <c r="U14" s="164"/>
      <c r="V14" s="164"/>
      <c r="W14" s="164"/>
    </row>
    <row r="15" customFormat="false" ht="15" hidden="false" customHeight="false" outlineLevel="0" collapsed="false">
      <c r="A15" s="209"/>
      <c r="B15" s="207"/>
      <c r="C15" s="208"/>
      <c r="D15" s="153"/>
      <c r="E15" s="153"/>
      <c r="F15" s="140" t="n">
        <f aca="false">IF(D15="PT",ROUND(E15,2),IF(D15="PT/SLC",ROUND(E15*0.9,2),ROUND(E15*0.8/1.12,2)))</f>
        <v>0</v>
      </c>
      <c r="G15" s="140" t="n">
        <f aca="false">IF(D15="PT",ROUND(F15/1.12*0.12,2), IF(D15="PT/SLC",ROUND(F15/1.12*0.12,2),0))</f>
        <v>0</v>
      </c>
      <c r="H15" s="141" t="n">
        <f aca="false">IF(D15="PT",ROUND(F15/1.12*0.7*0.9,2),IF(D15="PT/SLC",ROUND(F15/1.12*0.7*0.9,2),ROUND(F15*0.7*0.9,2)))</f>
        <v>0</v>
      </c>
      <c r="I15" s="141" t="n">
        <f aca="false">IF(D15="PT",ROUND(F15/1.12*0.7*0.1,2),IF(D15="PT/SLC",ROUND(F15/1.12*0.7*0.1,2),ROUND(F15*0.7*0.1,2)))</f>
        <v>0</v>
      </c>
      <c r="J15" s="140" t="n">
        <f aca="false">IF(D15="PT",ROUND(F15/1.12*0.3,2),IF(D15="PT/SLC",ROUND(F15/1.12*0.3,2),ROUND(F15*0.3,2)))</f>
        <v>0</v>
      </c>
      <c r="K15" s="183" t="n">
        <f aca="false">+F15-G15-H15-I15-J15</f>
        <v>0</v>
      </c>
      <c r="L15" s="202"/>
      <c r="M15" s="205"/>
      <c r="N15" s="164"/>
      <c r="O15" s="164"/>
      <c r="P15" s="164"/>
      <c r="Q15" s="164"/>
      <c r="R15" s="164"/>
      <c r="S15" s="164"/>
      <c r="T15" s="164"/>
      <c r="U15" s="164"/>
      <c r="V15" s="164"/>
      <c r="W15" s="164"/>
    </row>
    <row r="16" customFormat="false" ht="15" hidden="false" customHeight="false" outlineLevel="0" collapsed="false">
      <c r="A16" s="209"/>
      <c r="B16" s="204"/>
      <c r="C16" s="208"/>
      <c r="D16" s="153"/>
      <c r="E16" s="153"/>
      <c r="F16" s="140" t="n">
        <f aca="false">IF(D16="PT",ROUND(E16,2),IF(D16="PT/SLC",ROUND(E16*0.9,2),ROUND(E16*0.8/1.12,2)))</f>
        <v>0</v>
      </c>
      <c r="G16" s="140" t="n">
        <f aca="false">IF(D16="PT",ROUND(F16/1.12*0.12,2), IF(D16="PT/SLC",ROUND(F16/1.12*0.12,2),0))</f>
        <v>0</v>
      </c>
      <c r="H16" s="141" t="n">
        <f aca="false">IF(D16="PT",ROUND(F16/1.12*0.7*0.9,2),IF(D16="PT/SLC",ROUND(F16/1.12*0.7*0.9,2),ROUND(F16*0.7*0.9,2)))</f>
        <v>0</v>
      </c>
      <c r="I16" s="141" t="n">
        <f aca="false">IF(D16="PT",ROUND(F16/1.12*0.7*0.1,2),IF(D16="PT/SLC",ROUND(F16/1.12*0.7*0.1,2),ROUND(F16*0.7*0.1,2)))</f>
        <v>0</v>
      </c>
      <c r="J16" s="140" t="n">
        <f aca="false">IF(D16="PT",ROUND(F16/1.12*0.3,2),IF(D16="PT/SLC",ROUND(F16/1.12*0.3,2),ROUND(F16*0.3,2)))</f>
        <v>0</v>
      </c>
      <c r="K16" s="183" t="n">
        <f aca="false">+F16-G16-H16-I16-J16</f>
        <v>0</v>
      </c>
      <c r="L16" s="202"/>
      <c r="M16" s="205"/>
      <c r="N16" s="164"/>
      <c r="O16" s="164"/>
      <c r="P16" s="164"/>
      <c r="Q16" s="164"/>
      <c r="R16" s="164"/>
      <c r="S16" s="164"/>
      <c r="T16" s="164"/>
      <c r="U16" s="164"/>
      <c r="V16" s="164"/>
      <c r="W16" s="164"/>
    </row>
    <row r="17" customFormat="false" ht="15" hidden="false" customHeight="false" outlineLevel="0" collapsed="false">
      <c r="A17" s="209"/>
      <c r="B17" s="210"/>
      <c r="C17" s="209"/>
      <c r="D17" s="209"/>
      <c r="E17" s="209"/>
      <c r="F17" s="211"/>
      <c r="G17" s="211"/>
      <c r="H17" s="212" t="n">
        <f aca="false">SUM(H7:H16)</f>
        <v>337.5</v>
      </c>
      <c r="I17" s="211"/>
      <c r="J17" s="211"/>
      <c r="K17" s="211"/>
      <c r="L17" s="209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customFormat="false" ht="12.75" hidden="false" customHeight="false" outlineLevel="0" collapsed="false">
      <c r="B18" s="213"/>
    </row>
    <row r="34" customFormat="false" ht="12.75" hidden="false" customHeight="false" outlineLevel="0" collapsed="false">
      <c r="A34" s="214"/>
      <c r="B34" s="214"/>
      <c r="C34" s="215"/>
      <c r="D34" s="214"/>
      <c r="E34" s="214"/>
      <c r="F34" s="214"/>
      <c r="G34" s="214"/>
      <c r="H34" s="214"/>
      <c r="I34" s="214"/>
      <c r="J34" s="214"/>
    </row>
  </sheetData>
  <mergeCells count="8">
    <mergeCell ref="A5:A6"/>
    <mergeCell ref="B5:B6"/>
    <mergeCell ref="C5:C6"/>
    <mergeCell ref="D5:D6"/>
    <mergeCell ref="E5:E6"/>
    <mergeCell ref="L5:L6"/>
    <mergeCell ref="M5:M6"/>
    <mergeCell ref="N5:N6"/>
  </mergeCells>
  <printOptions headings="false" gridLines="true" gridLinesSet="true" horizontalCentered="false" verticalCentered="false"/>
  <pageMargins left="0.2" right="0.2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5078125" defaultRowHeight="12.7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LibreOffice/6.3.5.2$Windows_x86 LibreOffice_project/dd0751754f11728f69b42ee2af66670068624673</Application>
  <Company>STA.LUCIA HEALTH CARE CENTER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2004-06-26T00:03:39Z</dcterms:created>
  <dc:creator>ADMIN-WORKSTN6</dc:creator>
  <dc:description/>
  <dc:language>en-US</dc:language>
  <cp:lastModifiedBy/>
  <cp:lastPrinted>2021-05-10T08:21:42Z</cp:lastPrinted>
  <dcterms:modified xsi:type="dcterms:W3CDTF">2021-05-15T07:56:22Z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STA.LUCIA HEALTH CARE CENTER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