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itHub\templates\finance\"/>
    </mc:Choice>
  </mc:AlternateContent>
  <bookViews>
    <workbookView xWindow="480" yWindow="135" windowWidth="15600" windowHeight="7740"/>
  </bookViews>
  <sheets>
    <sheet name="Legend" sheetId="8" r:id="rId1"/>
    <sheet name="Summary" sheetId="9" r:id="rId2"/>
    <sheet name="2018" sheetId="1" r:id="rId3"/>
  </sheets>
  <definedNames>
    <definedName name="_xlnm._FilterDatabase" localSheetId="2" hidden="1">'2018'!$A$1:$I$7</definedName>
  </definedNames>
  <calcPr calcId="152511"/>
</workbook>
</file>

<file path=xl/calcChain.xml><?xml version="1.0" encoding="utf-8"?>
<calcChain xmlns="http://schemas.openxmlformats.org/spreadsheetml/2006/main">
  <c r="D5" i="9" l="1"/>
  <c r="G13" i="1"/>
  <c r="G12" i="1"/>
  <c r="G11" i="1"/>
  <c r="G10" i="1"/>
  <c r="G9" i="1"/>
  <c r="G8" i="1"/>
  <c r="G3" i="1"/>
  <c r="G2" i="1"/>
  <c r="A4" i="9"/>
  <c r="G6" i="1"/>
  <c r="G7" i="1" s="1"/>
  <c r="G5" i="1"/>
  <c r="G4" i="1"/>
</calcChain>
</file>

<file path=xl/sharedStrings.xml><?xml version="1.0" encoding="utf-8"?>
<sst xmlns="http://schemas.openxmlformats.org/spreadsheetml/2006/main" count="51" uniqueCount="34">
  <si>
    <t>QUANTITY:</t>
  </si>
  <si>
    <t>FEE:</t>
  </si>
  <si>
    <t>AMT. PAID:</t>
  </si>
  <si>
    <t>NOTES:</t>
  </si>
  <si>
    <t>ITEM NAME:</t>
  </si>
  <si>
    <t>Notes:</t>
  </si>
  <si>
    <t>START DATE:</t>
  </si>
  <si>
    <t>END DATE:</t>
  </si>
  <si>
    <t>grocery</t>
  </si>
  <si>
    <t>PLACE:</t>
  </si>
  <si>
    <t>Supermarket, Marikina City</t>
  </si>
  <si>
    <t>DETAILS:</t>
  </si>
  <si>
    <t>fuel</t>
  </si>
  <si>
    <t>jogging</t>
  </si>
  <si>
    <t>Sports Center, Marikina City</t>
  </si>
  <si>
    <t>bread</t>
  </si>
  <si>
    <t>every Monday of the week</t>
  </si>
  <si>
    <t>every Sunday of the week</t>
  </si>
  <si>
    <t>1) Collect Official Receipts (OR) for every item purchased.</t>
  </si>
  <si>
    <t>Total Expenses</t>
  </si>
  <si>
    <t>TOTAL:</t>
  </si>
  <si>
    <t>Steps:</t>
  </si>
  <si>
    <t>2) Compute weekly OR total every Monday of the week; Do this upon opening the computer.</t>
  </si>
  <si>
    <t>3) Place the total expenses of the week in the Summary worksheet.</t>
  </si>
  <si>
    <t>GRAND TOTAL:</t>
  </si>
  <si>
    <t>1) Each year is a worksheet.</t>
  </si>
  <si>
    <t>2) This Expenses Excel logbook/workbook is Marco-enabled, so that it can run Visual Basic Application (VBA) instructions whenever necessary.</t>
  </si>
  <si>
    <t>3) Filters are available on each header of the columns used.</t>
  </si>
  <si>
    <t>WEEK #:</t>
  </si>
  <si>
    <t>Fuel Station, Marikina City</t>
  </si>
  <si>
    <t>TOTAL</t>
  </si>
  <si>
    <t>Bakery, Marikina City</t>
  </si>
  <si>
    <t>mongo roll x4 @5.00pesos; spanish bread x4 @5.00pesos</t>
  </si>
  <si>
    <t>donut x20 @3.00pesos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</si>
</sst>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\-d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17" fontId="0" fillId="0" borderId="0" xfId="0" applyNumberFormat="1"/>
    <xf numFmtId="2" fontId="0" fillId="0" borderId="0" xfId="0" applyNumberFormat="1"/>
    <xf numFmtId="0" fontId="1" fillId="2" borderId="0" xfId="0" applyFont="1" applyFill="1" applyBorder="1" applyAlignment="1">
      <alignment horizontal="center"/>
    </xf>
    <xf numFmtId="0" fontId="0" fillId="0" borderId="0" xfId="0" applyBorder="1"/>
    <xf numFmtId="2" fontId="0" fillId="0" borderId="0" xfId="0" applyNumberFormat="1" applyFill="1" applyBorder="1"/>
    <xf numFmtId="0" fontId="0" fillId="0" borderId="0" xfId="0" applyFill="1" applyBorder="1"/>
    <xf numFmtId="164" fontId="0" fillId="0" borderId="0" xfId="0" applyNumberFormat="1" applyFill="1" applyBorder="1"/>
    <xf numFmtId="15" fontId="0" fillId="0" borderId="0" xfId="0" applyNumberFormat="1" applyFill="1" applyBorder="1"/>
    <xf numFmtId="0" fontId="2" fillId="0" borderId="0" xfId="0" applyFont="1"/>
    <xf numFmtId="0" fontId="1" fillId="0" borderId="0" xfId="0" applyFont="1" applyFill="1" applyBorder="1"/>
    <xf numFmtId="0" fontId="1" fillId="2" borderId="0" xfId="0" applyFont="1" applyFill="1"/>
    <xf numFmtId="15" fontId="0" fillId="0" borderId="0" xfId="0" applyNumberFormat="1" applyBorder="1"/>
    <xf numFmtId="17" fontId="1" fillId="2" borderId="0" xfId="0" applyNumberFormat="1" applyFont="1" applyFill="1"/>
    <xf numFmtId="0" fontId="0" fillId="0" borderId="0" xfId="0" applyFont="1"/>
    <xf numFmtId="2" fontId="0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tabSelected="1" workbookViewId="0">
      <selection activeCell="I14" sqref="I14"/>
    </sheetView>
  </sheetViews>
  <sheetFormatPr defaultRowHeight="15" x14ac:dyDescent="0.25"/>
  <cols>
    <col min="1" max="1" width="11.42578125" bestFit="1" customWidth="1"/>
  </cols>
  <sheetData>
    <row r="1" spans="1:11" x14ac:dyDescent="0.25">
      <c r="A1" s="4" t="s">
        <v>6</v>
      </c>
      <c r="B1" s="7" t="s">
        <v>16</v>
      </c>
      <c r="C1" s="7"/>
      <c r="D1" s="7"/>
      <c r="E1" s="7"/>
      <c r="F1" s="7"/>
      <c r="G1" s="7"/>
      <c r="H1" s="7"/>
      <c r="I1" s="7"/>
      <c r="J1" s="7"/>
      <c r="K1" s="7"/>
    </row>
    <row r="2" spans="1:11" x14ac:dyDescent="0.25">
      <c r="A2" s="4" t="s">
        <v>7</v>
      </c>
      <c r="B2" s="7" t="s">
        <v>17</v>
      </c>
      <c r="C2" s="7"/>
      <c r="D2" s="7"/>
      <c r="E2" s="7"/>
      <c r="F2" s="7"/>
      <c r="G2" s="7"/>
      <c r="H2" s="7"/>
      <c r="I2" s="7"/>
      <c r="J2" s="7"/>
      <c r="K2" s="7"/>
    </row>
    <row r="3" spans="1:1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 x14ac:dyDescent="0.25">
      <c r="A4" s="11" t="s">
        <v>5</v>
      </c>
      <c r="B4" s="7"/>
      <c r="C4" s="7"/>
      <c r="D4" s="7"/>
      <c r="E4" s="7"/>
      <c r="F4" s="7"/>
      <c r="G4" s="7"/>
      <c r="H4" s="7"/>
      <c r="I4" s="7"/>
      <c r="J4" s="7"/>
      <c r="K4" s="7"/>
    </row>
    <row r="5" spans="1:11" x14ac:dyDescent="0.25">
      <c r="A5" s="7" t="s">
        <v>25</v>
      </c>
      <c r="B5" s="7"/>
      <c r="C5" s="7"/>
      <c r="D5" s="7"/>
      <c r="E5" s="7"/>
      <c r="F5" s="7"/>
      <c r="G5" s="7"/>
      <c r="H5" s="7"/>
      <c r="I5" s="7"/>
      <c r="J5" s="7"/>
      <c r="K5" s="7"/>
    </row>
    <row r="6" spans="1:11" x14ac:dyDescent="0.25">
      <c r="A6" s="7" t="s">
        <v>26</v>
      </c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 t="s">
        <v>27</v>
      </c>
      <c r="B7" s="7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11" t="s">
        <v>21</v>
      </c>
      <c r="B9" s="7"/>
      <c r="C9" s="7"/>
      <c r="D9" s="7"/>
      <c r="E9" s="7"/>
      <c r="F9" s="7"/>
      <c r="G9" s="7"/>
      <c r="H9" s="7"/>
      <c r="I9" s="7"/>
      <c r="J9" s="7"/>
      <c r="K9" s="7"/>
    </row>
    <row r="10" spans="1:11" x14ac:dyDescent="0.25">
      <c r="A10" s="7" t="s">
        <v>18</v>
      </c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s="7" t="s">
        <v>22</v>
      </c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 x14ac:dyDescent="0.25">
      <c r="A12" s="7" t="s">
        <v>23</v>
      </c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1:1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1:1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"/>
  <sheetViews>
    <sheetView workbookViewId="0">
      <selection activeCell="E10" sqref="E10"/>
    </sheetView>
  </sheetViews>
  <sheetFormatPr defaultRowHeight="15" x14ac:dyDescent="0.25"/>
  <cols>
    <col min="1" max="1" width="8" customWidth="1"/>
    <col min="2" max="2" width="11.42578125" bestFit="1" customWidth="1"/>
    <col min="3" max="3" width="10.28515625" bestFit="1" customWidth="1"/>
    <col min="4" max="4" width="8" bestFit="1" customWidth="1"/>
  </cols>
  <sheetData>
    <row r="1" spans="1:7" ht="21" x14ac:dyDescent="0.35">
      <c r="A1" s="10" t="s">
        <v>19</v>
      </c>
    </row>
    <row r="2" spans="1:7" x14ac:dyDescent="0.25">
      <c r="A2" s="12" t="s">
        <v>28</v>
      </c>
      <c r="B2" s="4" t="s">
        <v>6</v>
      </c>
      <c r="C2" s="4" t="s">
        <v>7</v>
      </c>
      <c r="D2" s="14" t="s">
        <v>20</v>
      </c>
      <c r="E2" s="2"/>
      <c r="F2" s="2"/>
      <c r="G2" s="2"/>
    </row>
    <row r="3" spans="1:7" x14ac:dyDescent="0.25">
      <c r="A3">
        <v>1</v>
      </c>
      <c r="B3" s="9">
        <v>43248</v>
      </c>
      <c r="C3" s="9">
        <v>43254</v>
      </c>
      <c r="D3" s="6">
        <v>1489.65</v>
      </c>
      <c r="F3" s="3"/>
      <c r="G3" s="3"/>
    </row>
    <row r="4" spans="1:7" x14ac:dyDescent="0.25">
      <c r="A4">
        <f>A3+1</f>
        <v>2</v>
      </c>
      <c r="B4" s="13">
        <v>43255</v>
      </c>
      <c r="C4" s="13">
        <v>43261</v>
      </c>
      <c r="D4">
        <v>1273.6399999999999</v>
      </c>
    </row>
    <row r="5" spans="1:7" x14ac:dyDescent="0.25">
      <c r="A5" s="1" t="s">
        <v>24</v>
      </c>
      <c r="D5" s="3">
        <f>SUM(D3:D4)</f>
        <v>2763.29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zoomScaleNormal="100" workbookViewId="0">
      <selection activeCell="E14" sqref="E14"/>
    </sheetView>
  </sheetViews>
  <sheetFormatPr defaultColWidth="9.140625" defaultRowHeight="15" x14ac:dyDescent="0.25"/>
  <cols>
    <col min="1" max="1" width="9.140625" style="5"/>
    <col min="2" max="2" width="11.42578125" style="5" bestFit="1" customWidth="1"/>
    <col min="3" max="3" width="12.140625" style="5" customWidth="1"/>
    <col min="4" max="5" width="23.5703125" style="5" customWidth="1"/>
    <col min="6" max="6" width="10" style="5" bestFit="1" customWidth="1"/>
    <col min="7" max="7" width="12.28515625" style="5" customWidth="1"/>
    <col min="8" max="8" width="26.140625" style="5" bestFit="1" customWidth="1"/>
    <col min="9" max="9" width="52.140625" style="5" bestFit="1" customWidth="1"/>
    <col min="10" max="16384" width="9.140625" style="5"/>
  </cols>
  <sheetData>
    <row r="1" spans="1:9" x14ac:dyDescent="0.25">
      <c r="A1" s="4" t="s">
        <v>3</v>
      </c>
      <c r="B1" s="4" t="s">
        <v>6</v>
      </c>
      <c r="C1" s="4" t="s">
        <v>7</v>
      </c>
      <c r="D1" s="4" t="s">
        <v>4</v>
      </c>
      <c r="E1" s="4" t="s">
        <v>1</v>
      </c>
      <c r="F1" s="4" t="s">
        <v>0</v>
      </c>
      <c r="G1" s="4" t="s">
        <v>2</v>
      </c>
      <c r="H1" s="4" t="s">
        <v>9</v>
      </c>
      <c r="I1" s="4" t="s">
        <v>11</v>
      </c>
    </row>
    <row r="2" spans="1:9" s="7" customFormat="1" x14ac:dyDescent="0.25">
      <c r="B2" s="9">
        <v>43248</v>
      </c>
      <c r="C2" s="9">
        <v>43254</v>
      </c>
      <c r="D2" s="7" t="s">
        <v>8</v>
      </c>
      <c r="E2" s="7">
        <v>595</v>
      </c>
      <c r="F2" s="7">
        <v>1</v>
      </c>
      <c r="G2" s="6">
        <f t="shared" ref="G2:G3" si="0">E2*F2</f>
        <v>595</v>
      </c>
      <c r="H2" s="7" t="s">
        <v>10</v>
      </c>
    </row>
    <row r="3" spans="1:9" s="7" customFormat="1" x14ac:dyDescent="0.25">
      <c r="B3" s="9">
        <v>43248</v>
      </c>
      <c r="C3" s="9">
        <v>43254</v>
      </c>
      <c r="D3" s="7" t="s">
        <v>8</v>
      </c>
      <c r="E3">
        <v>624.65</v>
      </c>
      <c r="F3" s="15">
        <v>1</v>
      </c>
      <c r="G3" s="15">
        <f t="shared" si="0"/>
        <v>624.65</v>
      </c>
      <c r="H3" s="7" t="s">
        <v>10</v>
      </c>
    </row>
    <row r="4" spans="1:9" s="7" customFormat="1" x14ac:dyDescent="0.25">
      <c r="B4" s="9">
        <v>43248</v>
      </c>
      <c r="C4" s="9">
        <v>43254</v>
      </c>
      <c r="D4" s="7" t="s">
        <v>12</v>
      </c>
      <c r="E4" s="7">
        <v>100</v>
      </c>
      <c r="F4" s="7">
        <v>2</v>
      </c>
      <c r="G4" s="6">
        <f>E4*F4</f>
        <v>200</v>
      </c>
      <c r="H4" t="s">
        <v>29</v>
      </c>
    </row>
    <row r="5" spans="1:9" s="7" customFormat="1" x14ac:dyDescent="0.25">
      <c r="B5" s="9">
        <v>43248</v>
      </c>
      <c r="C5" s="9">
        <v>43254</v>
      </c>
      <c r="D5" s="7" t="s">
        <v>13</v>
      </c>
      <c r="E5" s="7">
        <v>10</v>
      </c>
      <c r="F5" s="7">
        <v>3</v>
      </c>
      <c r="G5" s="6">
        <f>E5*F5</f>
        <v>30</v>
      </c>
      <c r="H5" s="7" t="s">
        <v>14</v>
      </c>
    </row>
    <row r="6" spans="1:9" s="7" customFormat="1" x14ac:dyDescent="0.25">
      <c r="B6" s="9">
        <v>43248</v>
      </c>
      <c r="C6" s="9">
        <v>43254</v>
      </c>
      <c r="D6" s="7" t="s">
        <v>15</v>
      </c>
      <c r="E6" s="7">
        <v>20</v>
      </c>
      <c r="F6" s="7">
        <v>2</v>
      </c>
      <c r="G6" s="6">
        <f>E6*F6</f>
        <v>40</v>
      </c>
      <c r="H6" s="7" t="s">
        <v>31</v>
      </c>
      <c r="I6" s="5" t="s">
        <v>32</v>
      </c>
    </row>
    <row r="7" spans="1:9" s="7" customFormat="1" x14ac:dyDescent="0.25">
      <c r="A7" s="7" t="s">
        <v>30</v>
      </c>
      <c r="C7" s="8"/>
      <c r="G7" s="6">
        <f>SUM(G2:G6)</f>
        <v>1489.65</v>
      </c>
    </row>
    <row r="8" spans="1:9" s="7" customFormat="1" x14ac:dyDescent="0.25">
      <c r="B8" s="13">
        <v>43255</v>
      </c>
      <c r="C8" s="13">
        <v>43261</v>
      </c>
      <c r="D8" s="7" t="s">
        <v>8</v>
      </c>
      <c r="E8" s="7">
        <v>590.15</v>
      </c>
      <c r="F8">
        <v>1</v>
      </c>
      <c r="G8">
        <f t="shared" ref="G8:G9" si="1">E8*F8</f>
        <v>590.15</v>
      </c>
      <c r="H8" s="7" t="s">
        <v>10</v>
      </c>
    </row>
    <row r="9" spans="1:9" x14ac:dyDescent="0.25">
      <c r="B9" s="13">
        <v>43255</v>
      </c>
      <c r="C9" s="13">
        <v>43261</v>
      </c>
      <c r="D9" s="7" t="s">
        <v>8</v>
      </c>
      <c r="E9" s="7">
        <v>393.49</v>
      </c>
      <c r="F9">
        <v>1</v>
      </c>
      <c r="G9">
        <f t="shared" si="1"/>
        <v>393.49</v>
      </c>
      <c r="H9" s="7" t="s">
        <v>10</v>
      </c>
    </row>
    <row r="10" spans="1:9" x14ac:dyDescent="0.25">
      <c r="B10" s="13">
        <v>43255</v>
      </c>
      <c r="C10" s="13">
        <v>43261</v>
      </c>
      <c r="D10" s="7" t="s">
        <v>12</v>
      </c>
      <c r="E10" s="7">
        <v>100</v>
      </c>
      <c r="F10" s="7">
        <v>2</v>
      </c>
      <c r="G10" s="6">
        <f>E10*F10</f>
        <v>200</v>
      </c>
      <c r="H10" t="s">
        <v>29</v>
      </c>
    </row>
    <row r="11" spans="1:9" x14ac:dyDescent="0.25">
      <c r="B11" s="13">
        <v>43255</v>
      </c>
      <c r="C11" s="13">
        <v>43261</v>
      </c>
      <c r="D11" s="7" t="s">
        <v>13</v>
      </c>
      <c r="E11" s="7">
        <v>10</v>
      </c>
      <c r="F11" s="7">
        <v>3</v>
      </c>
      <c r="G11" s="6">
        <f>E11*F11</f>
        <v>30</v>
      </c>
      <c r="H11" s="7" t="s">
        <v>14</v>
      </c>
    </row>
    <row r="12" spans="1:9" x14ac:dyDescent="0.25">
      <c r="B12" s="13">
        <v>43255</v>
      </c>
      <c r="C12" s="13">
        <v>43261</v>
      </c>
      <c r="D12" s="7" t="s">
        <v>15</v>
      </c>
      <c r="E12" s="7">
        <v>3</v>
      </c>
      <c r="F12" s="7">
        <v>20</v>
      </c>
      <c r="G12" s="6">
        <f>E12*F12</f>
        <v>60</v>
      </c>
      <c r="H12" s="7" t="s">
        <v>31</v>
      </c>
      <c r="I12" s="5" t="s">
        <v>33</v>
      </c>
    </row>
    <row r="13" spans="1:9" x14ac:dyDescent="0.25">
      <c r="A13" s="5" t="s">
        <v>30</v>
      </c>
      <c r="E13"/>
      <c r="F13" s="15"/>
      <c r="G13" s="16">
        <f>SUM(G8:G12)</f>
        <v>1273.6399999999999</v>
      </c>
    </row>
    <row r="14" spans="1:9" x14ac:dyDescent="0.25">
      <c r="E14" s="7"/>
      <c r="F14"/>
      <c r="G14"/>
    </row>
    <row r="15" spans="1:9" x14ac:dyDescent="0.25">
      <c r="E15" s="7"/>
      <c r="F15"/>
      <c r="G15"/>
    </row>
    <row r="16" spans="1:9" x14ac:dyDescent="0.25">
      <c r="E16" s="7"/>
      <c r="F16"/>
      <c r="G16"/>
    </row>
  </sheetData>
  <autoFilter ref="A1:I7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Legend</vt:lpstr>
      <vt:lpstr>Summary</vt:lpstr>
      <vt:lpstr>2018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</cp:lastModifiedBy>
  <dcterms:created xsi:type="dcterms:W3CDTF">2013-10-26T15:18:23Z</dcterms:created>
  <dcterms:modified xsi:type="dcterms:W3CDTF">2018-11-04T12:14:28Z</dcterms:modified>
</cp:coreProperties>
</file>